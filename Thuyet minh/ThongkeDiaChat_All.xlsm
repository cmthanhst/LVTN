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updateLinks="never" codeName="ThisWorkbook" defaultThemeVersion="124226"/>
  <bookViews>
    <workbookView xWindow="240" yWindow="105" windowWidth="14805" windowHeight="8010"/>
  </bookViews>
  <sheets>
    <sheet name="Solieu1" sheetId="1" r:id="rId1"/>
    <sheet name="Solieu2" sheetId="3" r:id="rId2"/>
    <sheet name="Bangtra" sheetId="2" r:id="rId3"/>
    <sheet name="Thongke1" sheetId="5" r:id="rId4"/>
    <sheet name="Thongke2" sheetId="7" r:id="rId5"/>
    <sheet name="BaocaoTong" sheetId="6" r:id="rId6"/>
    <sheet name="Baocao1" sheetId="8" r:id="rId7"/>
    <sheet name="Print" sheetId="9" r:id="rId8"/>
  </sheets>
  <externalReferences>
    <externalReference r:id="rId9"/>
  </externalReferences>
  <definedNames>
    <definedName name="_xlnm._FilterDatabase" localSheetId="4" hidden="1">Thongke2!$A$7:$E$107</definedName>
    <definedName name="BANGTRA1_BT">Bangtra!$A$2:$AS$3</definedName>
    <definedName name="BANGTRA2_BT">Bangtra!$A$7:$C$30</definedName>
    <definedName name="CAPAPLUC_TK2">Thongke2!$C$8:$C$107</definedName>
    <definedName name="DATTRUNG_TK1">Thongke1!$C$3:$C$32</definedName>
    <definedName name="KQTHONGKE_BC2">#REF!</definedName>
    <definedName name="KQTHONGKE_TK2">Thongke2!$AB$6:$AB$28</definedName>
    <definedName name="LINEST_BC2">#REF!</definedName>
    <definedName name="LINEST_TK2">Thongke2!$O$8:$P$12</definedName>
    <definedName name="SOHIEUMAU_TK1">Thongke1!$B$3:$B$32</definedName>
    <definedName name="SOHIEUMAU_TK2">Thongke2!$B$8:$B$107</definedName>
    <definedName name="TONGHOP_BC2">#REF!</definedName>
    <definedName name="TRITC_BCT" comment="Gia tri tieu chuan _ bao cao tong">BaocaoTong!$D$4</definedName>
    <definedName name="TRITT_BCT" comment="Gia tri Tinh toan - bao cao tong">BaocaoTong!$D$13:$D$17</definedName>
    <definedName name="TTGH1_BC1">Baocao1!#REF!</definedName>
    <definedName name="TTGH2_BC1">Baocao1!#REF!</definedName>
    <definedName name="USCAT_TK2">Thongke2!$D$8:$D$107</definedName>
  </definedNames>
  <calcPr calcId="145621"/>
</workbook>
</file>

<file path=xl/calcChain.xml><?xml version="1.0" encoding="utf-8"?>
<calcChain xmlns="http://schemas.openxmlformats.org/spreadsheetml/2006/main">
  <c r="C38" i="5" l="1"/>
  <c r="I38" i="5" l="1"/>
  <c r="F34" i="5"/>
  <c r="I39" i="5" l="1"/>
  <c r="I4" i="7"/>
  <c r="AI15" i="7"/>
  <c r="AI8" i="7"/>
  <c r="AG15" i="7"/>
  <c r="AG11" i="7"/>
  <c r="AI11" i="7" s="1"/>
  <c r="AG8" i="7"/>
  <c r="AG5" i="7" l="1"/>
  <c r="AI5" i="7" s="1"/>
  <c r="AH5" i="7" s="1"/>
  <c r="AB16" i="7"/>
  <c r="AG12" i="7" s="1"/>
  <c r="AI12" i="7" s="1"/>
  <c r="AB23" i="7"/>
  <c r="AG16" i="7" s="1"/>
  <c r="AI16" i="7" s="1"/>
  <c r="I46" i="5"/>
  <c r="I45" i="5"/>
  <c r="I47" i="5"/>
  <c r="I44" i="5"/>
  <c r="I43" i="5"/>
  <c r="I40" i="5"/>
  <c r="I41" i="5"/>
  <c r="I42" i="5"/>
  <c r="I37" i="5"/>
  <c r="I36" i="5"/>
  <c r="I35" i="5"/>
  <c r="I34" i="5"/>
  <c r="AC15" i="7" l="1"/>
  <c r="AB9" i="7" l="1"/>
  <c r="AG6" i="7" s="1"/>
  <c r="AB6" i="7" l="1"/>
  <c r="AB14" i="7"/>
  <c r="AG10" i="7" s="1"/>
  <c r="AB12" i="7"/>
  <c r="AB7" i="7" l="1"/>
  <c r="AI10" i="7"/>
  <c r="AI6" i="7"/>
  <c r="AB13" i="7"/>
  <c r="AH10" i="7" s="1"/>
  <c r="AB10" i="7"/>
  <c r="AC6" i="7" l="1"/>
  <c r="AB17" i="7"/>
  <c r="AI13" i="7" s="1"/>
  <c r="AB24" i="7"/>
  <c r="AI17" i="7" s="1"/>
  <c r="AB20" i="7"/>
  <c r="AB27" i="7"/>
  <c r="AB28" i="7" s="1"/>
  <c r="AG18" i="7" s="1"/>
  <c r="AG7" i="7"/>
  <c r="AG9" i="7" s="1"/>
  <c r="AI7" i="7"/>
  <c r="AI9" i="7"/>
  <c r="AC9" i="7"/>
  <c r="AB21" i="7" l="1"/>
  <c r="AG14" i="7" s="1"/>
  <c r="AB25" i="7"/>
  <c r="AI18" i="7" s="1"/>
  <c r="AB26" i="7"/>
  <c r="AH18" i="7" s="1"/>
  <c r="AB18" i="7"/>
  <c r="AI14" i="7" s="1"/>
  <c r="AB19" i="7"/>
  <c r="AH14" i="7" s="1"/>
  <c r="AG13" i="7"/>
  <c r="AG17" i="7"/>
</calcChain>
</file>

<file path=xl/comments1.xml><?xml version="1.0" encoding="utf-8"?>
<comments xmlns="http://schemas.openxmlformats.org/spreadsheetml/2006/main">
  <authors>
    <author>Author</author>
  </authors>
  <commentList>
    <comment ref="I4" authorId="0">
      <text>
        <r>
          <rPr>
            <b/>
            <sz val="8"/>
            <color indexed="81"/>
            <rFont val="Tahoma"/>
            <family val="2"/>
            <charset val="163"/>
          </rPr>
          <t>Author:</t>
        </r>
        <r>
          <rPr>
            <sz val="8"/>
            <color indexed="81"/>
            <rFont val="Tahoma"/>
            <family val="2"/>
            <charset val="163"/>
          </rPr>
          <t xml:space="preserve">
số thí nghiệm, không phải số mẫu được nhận</t>
        </r>
      </text>
    </comment>
    <comment ref="O8" authorId="0">
      <text>
        <r>
          <rPr>
            <b/>
            <sz val="8"/>
            <color indexed="81"/>
            <rFont val="Tahoma"/>
            <family val="2"/>
            <charset val="163"/>
          </rPr>
          <t>Author:</t>
        </r>
        <r>
          <rPr>
            <sz val="8"/>
            <color indexed="81"/>
            <rFont val="Tahoma"/>
            <family val="2"/>
            <charset val="163"/>
          </rPr>
          <t xml:space="preserve">
tg_phi_tc</t>
        </r>
      </text>
    </comment>
    <comment ref="P8" authorId="0">
      <text>
        <r>
          <rPr>
            <b/>
            <sz val="8"/>
            <color indexed="81"/>
            <rFont val="Tahoma"/>
            <family val="2"/>
            <charset val="163"/>
          </rPr>
          <t>Author:</t>
        </r>
        <r>
          <rPr>
            <sz val="8"/>
            <color indexed="81"/>
            <rFont val="Tahoma"/>
            <family val="2"/>
            <charset val="163"/>
          </rPr>
          <t xml:space="preserve">
C_tc</t>
        </r>
      </text>
    </comment>
    <comment ref="O9" authorId="0">
      <text>
        <r>
          <rPr>
            <b/>
            <sz val="8"/>
            <color indexed="81"/>
            <rFont val="Tahoma"/>
            <family val="2"/>
            <charset val="163"/>
          </rPr>
          <t>Author:</t>
        </r>
        <r>
          <rPr>
            <sz val="8"/>
            <color indexed="81"/>
            <rFont val="Tahoma"/>
            <family val="2"/>
            <charset val="163"/>
          </rPr>
          <t xml:space="preserve">
sgma_tag_phi</t>
        </r>
      </text>
    </comment>
    <comment ref="P9" authorId="0">
      <text>
        <r>
          <rPr>
            <b/>
            <sz val="8"/>
            <color indexed="81"/>
            <rFont val="Tahoma"/>
            <family val="2"/>
            <charset val="163"/>
          </rPr>
          <t>Author:</t>
        </r>
        <r>
          <rPr>
            <sz val="8"/>
            <color indexed="81"/>
            <rFont val="Tahoma"/>
            <family val="2"/>
            <charset val="163"/>
          </rPr>
          <t xml:space="preserve">
Sigma_C</t>
        </r>
      </text>
    </comment>
    <comment ref="P10" authorId="0">
      <text>
        <r>
          <rPr>
            <b/>
            <sz val="8"/>
            <color indexed="81"/>
            <rFont val="Tahoma"/>
            <family val="2"/>
            <charset val="163"/>
          </rPr>
          <t>Author:</t>
        </r>
        <r>
          <rPr>
            <sz val="8"/>
            <color indexed="81"/>
            <rFont val="Tahoma"/>
            <family val="2"/>
            <charset val="163"/>
          </rPr>
          <t xml:space="preserve">
Sigma_T</t>
        </r>
      </text>
    </comment>
    <comment ref="AC15" authorId="0">
      <text>
        <r>
          <rPr>
            <b/>
            <sz val="8"/>
            <color indexed="81"/>
            <rFont val="Tahoma"/>
            <family val="2"/>
            <charset val="163"/>
          </rPr>
          <t>Author:</t>
        </r>
        <r>
          <rPr>
            <sz val="8"/>
            <color indexed="81"/>
            <rFont val="Tahoma"/>
            <family val="2"/>
            <charset val="163"/>
          </rPr>
          <t xml:space="preserve">
Số TN; không phải là số mẫu được nhận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T63" authorId="0">
      <text>
        <r>
          <rPr>
            <b/>
            <sz val="8"/>
            <color indexed="81"/>
            <rFont val="Tahoma"/>
            <family val="2"/>
            <charset val="163"/>
          </rPr>
          <t>Author:</t>
        </r>
        <r>
          <rPr>
            <sz val="8"/>
            <color indexed="81"/>
            <rFont val="Tahoma"/>
            <family val="2"/>
            <charset val="163"/>
          </rPr>
          <t xml:space="preserve">
Số TN; không phải là số mẫu được nhận</t>
        </r>
      </text>
    </comment>
  </commentList>
</comments>
</file>

<file path=xl/sharedStrings.xml><?xml version="1.0" encoding="utf-8"?>
<sst xmlns="http://schemas.openxmlformats.org/spreadsheetml/2006/main" count="4958" uniqueCount="372">
  <si>
    <t>STT</t>
  </si>
  <si>
    <t>Số hiệu mẫu</t>
  </si>
  <si>
    <t>e</t>
  </si>
  <si>
    <t>Độ ẩm</t>
  </si>
  <si>
    <t>1 - 1</t>
  </si>
  <si>
    <t>1 - 3</t>
  </si>
  <si>
    <t>1 - 5</t>
  </si>
  <si>
    <t>1 - 7</t>
  </si>
  <si>
    <t>1 - 9</t>
  </si>
  <si>
    <t>1 - 11</t>
  </si>
  <si>
    <t>1 - 13</t>
  </si>
  <si>
    <t>1 - 15</t>
  </si>
  <si>
    <t>1 - 17</t>
  </si>
  <si>
    <t>1 - 19</t>
  </si>
  <si>
    <t>2 - 1</t>
  </si>
  <si>
    <t>2 - 3</t>
  </si>
  <si>
    <t>2 - 5</t>
  </si>
  <si>
    <t>2 - 7</t>
  </si>
  <si>
    <t>2 - 9</t>
  </si>
  <si>
    <t>2 - 11</t>
  </si>
  <si>
    <t>2 - 13</t>
  </si>
  <si>
    <t>2 - 15</t>
  </si>
  <si>
    <t>2 - 17</t>
  </si>
  <si>
    <t>2 - 19</t>
  </si>
  <si>
    <t>n</t>
  </si>
  <si>
    <t>ν</t>
  </si>
  <si>
    <t>a = 0,85</t>
  </si>
  <si>
    <t>a = 0,95</t>
  </si>
  <si>
    <t>Tổng</t>
  </si>
  <si>
    <t>Lớp đất</t>
  </si>
  <si>
    <t>Kiểm tra thống kê</t>
  </si>
  <si>
    <t>Giá trị tiêu chuẩn</t>
  </si>
  <si>
    <t>Góc ms trong</t>
  </si>
  <si>
    <t>Đặt trưng của đất</t>
  </si>
  <si>
    <t>Hệ số biến động [v]</t>
  </si>
  <si>
    <t>Trong lượng riêng khô</t>
  </si>
  <si>
    <t>Hệ số rỗng</t>
  </si>
  <si>
    <t>Độ ẩm tự nhiên</t>
  </si>
  <si>
    <t>Cấp áp lực</t>
  </si>
  <si>
    <t>Ứng suất cắt</t>
  </si>
  <si>
    <t>σ</t>
  </si>
  <si>
    <t>τ</t>
  </si>
  <si>
    <t>THỐNG KÊ CÁC ĐẶT TRƯNG: Góc ms trong va lực dính</t>
  </si>
  <si>
    <t>Ghi chú</t>
  </si>
  <si>
    <t>Hàm Linest:</t>
  </si>
  <si>
    <t>LỌC RA CÁC MẪU NHẬN</t>
  </si>
  <si>
    <t xml:space="preserve">Bậc tự do (n-1) với R, γ,
(n-2) với c, φ </t>
  </si>
  <si>
    <t>Hệ số tα  ứng với xác suất tin cậy</t>
  </si>
  <si>
    <t>tgφ</t>
  </si>
  <si>
    <t>BẢNG TỔNG HỢP THỐNG KÊ  ĐẶT TRƯNG: GÓC MS TRONG VÀ LỰC DÍNH CỦA 1 LỚP ĐẤT</t>
  </si>
  <si>
    <t>Ký hiệu</t>
  </si>
  <si>
    <t>Giá trị</t>
  </si>
  <si>
    <r>
      <rPr>
        <sz val="11"/>
        <color theme="1"/>
        <rFont val="Arial"/>
        <family val="2"/>
        <charset val="163"/>
      </rPr>
      <t>σ</t>
    </r>
    <r>
      <rPr>
        <vertAlign val="subscript"/>
        <sz val="11"/>
        <color theme="1"/>
        <rFont val="Arial"/>
        <family val="2"/>
        <charset val="163"/>
      </rPr>
      <t>tgφ</t>
    </r>
  </si>
  <si>
    <r>
      <t>tg</t>
    </r>
    <r>
      <rPr>
        <sz val="11"/>
        <color theme="1"/>
        <rFont val="Arial"/>
        <family val="2"/>
        <charset val="163"/>
      </rPr>
      <t>φ</t>
    </r>
  </si>
  <si>
    <r>
      <rPr>
        <sz val="11"/>
        <color theme="1"/>
        <rFont val="Calibri"/>
        <family val="2"/>
        <charset val="163"/>
      </rPr>
      <t>ν</t>
    </r>
    <r>
      <rPr>
        <vertAlign val="subscript"/>
        <sz val="11"/>
        <color theme="1"/>
        <rFont val="Arial"/>
        <family val="2"/>
        <charset val="163"/>
      </rPr>
      <t>tgφ</t>
    </r>
  </si>
  <si>
    <t>[ν]</t>
  </si>
  <si>
    <t>Lực dính c</t>
  </si>
  <si>
    <r>
      <rPr>
        <sz val="11"/>
        <color theme="1"/>
        <rFont val="Arial"/>
        <family val="2"/>
        <charset val="163"/>
      </rPr>
      <t>σ</t>
    </r>
    <r>
      <rPr>
        <vertAlign val="subscript"/>
        <sz val="11"/>
        <color theme="1"/>
        <rFont val="Arial"/>
        <family val="2"/>
        <charset val="163"/>
      </rPr>
      <t>c</t>
    </r>
  </si>
  <si>
    <r>
      <rPr>
        <sz val="11"/>
        <color theme="1"/>
        <rFont val="Calibri"/>
        <family val="2"/>
        <charset val="163"/>
      </rPr>
      <t>ν</t>
    </r>
    <r>
      <rPr>
        <vertAlign val="subscript"/>
        <sz val="11"/>
        <color theme="1"/>
        <rFont val="Calibri"/>
        <family val="2"/>
        <charset val="163"/>
      </rPr>
      <t>c</t>
    </r>
  </si>
  <si>
    <r>
      <t>tgϕ</t>
    </r>
    <r>
      <rPr>
        <vertAlign val="superscript"/>
        <sz val="11"/>
        <color theme="1"/>
        <rFont val="Calibri"/>
        <family val="2"/>
        <charset val="163"/>
      </rPr>
      <t>tc</t>
    </r>
  </si>
  <si>
    <r>
      <t>ϕ</t>
    </r>
    <r>
      <rPr>
        <vertAlign val="superscript"/>
        <sz val="11"/>
        <color theme="1"/>
        <rFont val="Calibri"/>
        <family val="2"/>
        <charset val="163"/>
      </rPr>
      <t>tc</t>
    </r>
  </si>
  <si>
    <r>
      <t>c</t>
    </r>
    <r>
      <rPr>
        <vertAlign val="superscript"/>
        <sz val="11"/>
        <color theme="1"/>
        <rFont val="Calibri"/>
        <family val="2"/>
        <charset val="163"/>
      </rPr>
      <t>tc</t>
    </r>
  </si>
  <si>
    <t>α</t>
  </si>
  <si>
    <r>
      <t>t</t>
    </r>
    <r>
      <rPr>
        <vertAlign val="subscript"/>
        <sz val="11"/>
        <color theme="1"/>
        <rFont val="Calibri"/>
        <family val="2"/>
        <charset val="163"/>
      </rPr>
      <t>α</t>
    </r>
  </si>
  <si>
    <r>
      <t>ρ</t>
    </r>
    <r>
      <rPr>
        <vertAlign val="subscript"/>
        <sz val="11"/>
        <color theme="1"/>
        <rFont val="Calibri"/>
        <family val="2"/>
        <charset val="163"/>
      </rPr>
      <t>tgϕ</t>
    </r>
  </si>
  <si>
    <r>
      <t>ρ</t>
    </r>
    <r>
      <rPr>
        <vertAlign val="subscript"/>
        <sz val="11"/>
        <color theme="1"/>
        <rFont val="Calibri"/>
        <family val="2"/>
        <charset val="163"/>
      </rPr>
      <t>c</t>
    </r>
  </si>
  <si>
    <r>
      <t>ϕ</t>
    </r>
    <r>
      <rPr>
        <vertAlign val="subscript"/>
        <sz val="11"/>
        <color theme="1"/>
        <rFont val="Calibri"/>
        <family val="2"/>
        <charset val="163"/>
      </rPr>
      <t>I</t>
    </r>
  </si>
  <si>
    <r>
      <t>c</t>
    </r>
    <r>
      <rPr>
        <vertAlign val="subscript"/>
        <sz val="11"/>
        <color theme="1"/>
        <rFont val="Calibri"/>
        <family val="2"/>
        <charset val="163"/>
      </rPr>
      <t>I</t>
    </r>
  </si>
  <si>
    <r>
      <t>tgϕ</t>
    </r>
    <r>
      <rPr>
        <vertAlign val="subscript"/>
        <sz val="11"/>
        <color theme="1"/>
        <rFont val="Calibri"/>
        <family val="2"/>
        <charset val="163"/>
      </rPr>
      <t>I</t>
    </r>
  </si>
  <si>
    <r>
      <t>tgϕ</t>
    </r>
    <r>
      <rPr>
        <vertAlign val="subscript"/>
        <sz val="11"/>
        <color theme="1"/>
        <rFont val="Calibri"/>
        <family val="2"/>
        <charset val="163"/>
      </rPr>
      <t>II</t>
    </r>
  </si>
  <si>
    <r>
      <t>ϕ</t>
    </r>
    <r>
      <rPr>
        <vertAlign val="subscript"/>
        <sz val="11"/>
        <color theme="1"/>
        <rFont val="Calibri"/>
        <family val="2"/>
        <charset val="163"/>
      </rPr>
      <t>II</t>
    </r>
  </si>
  <si>
    <r>
      <t>c</t>
    </r>
    <r>
      <rPr>
        <vertAlign val="subscript"/>
        <sz val="11"/>
        <color theme="1"/>
        <rFont val="Calibri"/>
        <family val="2"/>
        <charset val="163"/>
      </rPr>
      <t>II</t>
    </r>
  </si>
  <si>
    <t>TTGH I</t>
  </si>
  <si>
    <t>TTGH II</t>
  </si>
  <si>
    <t xml:space="preserve">Ghi chú </t>
  </si>
  <si>
    <t>ϑ</t>
  </si>
  <si>
    <r>
      <t>σ</t>
    </r>
    <r>
      <rPr>
        <vertAlign val="subscript"/>
        <sz val="11"/>
        <color theme="1"/>
        <rFont val="Calibri"/>
        <family val="2"/>
        <charset val="163"/>
      </rPr>
      <t xml:space="preserve">CM </t>
    </r>
  </si>
  <si>
    <r>
      <t>ϑσ</t>
    </r>
    <r>
      <rPr>
        <vertAlign val="subscript"/>
        <sz val="11"/>
        <color theme="1"/>
        <rFont val="Calibri"/>
        <family val="2"/>
        <charset val="163"/>
      </rPr>
      <t>CM</t>
    </r>
  </si>
  <si>
    <t>ρ</t>
  </si>
  <si>
    <t>Số TN được nhận</t>
  </si>
  <si>
    <t>W</t>
  </si>
  <si>
    <t>HÀM LINEST</t>
  </si>
  <si>
    <t>2 - 21</t>
  </si>
  <si>
    <t>1 - 21</t>
  </si>
  <si>
    <t>1 - 23</t>
  </si>
  <si>
    <t>1 - 33</t>
  </si>
  <si>
    <t>1 - 27</t>
  </si>
  <si>
    <t>1 - 25</t>
  </si>
  <si>
    <t>1 - 35</t>
  </si>
  <si>
    <t>1 - 29</t>
  </si>
  <si>
    <t>2 - 23</t>
  </si>
  <si>
    <t>1 - 31</t>
  </si>
  <si>
    <t>2 - 25</t>
  </si>
  <si>
    <t>2 - 27</t>
  </si>
  <si>
    <t>2 - 31</t>
  </si>
  <si>
    <t>2 - 29</t>
  </si>
  <si>
    <t>2 - 33</t>
  </si>
  <si>
    <t>%</t>
  </si>
  <si>
    <t>Lực dính đơn vị</t>
  </si>
  <si>
    <t>HỐ KHOAN</t>
  </si>
  <si>
    <t>LỚP ĐẤT</t>
  </si>
  <si>
    <t>SỐ HIỆU</t>
  </si>
  <si>
    <t>Dung trọng g/cm³</t>
  </si>
  <si>
    <t>Tỷ trọng</t>
  </si>
  <si>
    <t>Độ rỗng</t>
  </si>
  <si>
    <t>Độ bão hòa</t>
  </si>
  <si>
    <t>Giới hạn chảy dẻo</t>
  </si>
  <si>
    <t>Độ sệt</t>
  </si>
  <si>
    <t>Phân tích cỡ hạt đất</t>
  </si>
  <si>
    <t>Nén đơn</t>
  </si>
  <si>
    <t>Chỉ số nén</t>
  </si>
  <si>
    <t>Hệ số nén dần</t>
  </si>
  <si>
    <t>Module Biến dạng</t>
  </si>
  <si>
    <t>SPT</t>
  </si>
  <si>
    <t>Ướt</t>
  </si>
  <si>
    <t>Khô</t>
  </si>
  <si>
    <t>Đẩy nổi</t>
  </si>
  <si>
    <t>% Mịn hơn (mm)</t>
  </si>
  <si>
    <t>Kg/cm²</t>
  </si>
  <si>
    <t>cm²/kg</t>
  </si>
  <si>
    <t>kg/cm²</t>
  </si>
  <si>
    <r>
      <t>ɣ</t>
    </r>
    <r>
      <rPr>
        <b/>
        <vertAlign val="subscript"/>
        <sz val="11"/>
        <color theme="1"/>
        <rFont val="Calibri"/>
        <family val="2"/>
        <charset val="163"/>
      </rPr>
      <t>w</t>
    </r>
  </si>
  <si>
    <r>
      <t>ɣ</t>
    </r>
    <r>
      <rPr>
        <b/>
        <vertAlign val="subscript"/>
        <sz val="11"/>
        <color theme="1"/>
        <rFont val="Calibri"/>
        <family val="2"/>
        <charset val="163"/>
      </rPr>
      <t>d</t>
    </r>
  </si>
  <si>
    <t>ɣ'</t>
  </si>
  <si>
    <t>Gs</t>
  </si>
  <si>
    <t>S</t>
  </si>
  <si>
    <t>WL</t>
  </si>
  <si>
    <t>WP</t>
  </si>
  <si>
    <t>IP</t>
  </si>
  <si>
    <t>B</t>
  </si>
  <si>
    <t>Qu</t>
  </si>
  <si>
    <t>Cc</t>
  </si>
  <si>
    <r>
      <t>a</t>
    </r>
    <r>
      <rPr>
        <b/>
        <vertAlign val="subscript"/>
        <sz val="11"/>
        <color theme="1"/>
        <rFont val="Calibri"/>
        <family val="2"/>
        <charset val="163"/>
      </rPr>
      <t>1-2</t>
    </r>
  </si>
  <si>
    <r>
      <t>E</t>
    </r>
    <r>
      <rPr>
        <b/>
        <vertAlign val="subscript"/>
        <sz val="11"/>
        <color theme="1"/>
        <rFont val="Calibri"/>
        <family val="2"/>
        <charset val="163"/>
      </rPr>
      <t>1-2</t>
    </r>
  </si>
  <si>
    <t>N</t>
  </si>
  <si>
    <t>KÝ HIỆU</t>
  </si>
  <si>
    <t>Ai</t>
  </si>
  <si>
    <t>THỐNG KÊ 1</t>
  </si>
  <si>
    <r>
      <t>A</t>
    </r>
    <r>
      <rPr>
        <vertAlign val="subscript"/>
        <sz val="11"/>
        <color theme="1"/>
        <rFont val="Calibri"/>
        <family val="2"/>
        <charset val="163"/>
      </rPr>
      <t>I</t>
    </r>
  </si>
  <si>
    <r>
      <t>A</t>
    </r>
    <r>
      <rPr>
        <vertAlign val="subscript"/>
        <sz val="11"/>
        <color theme="1"/>
        <rFont val="Calibri"/>
        <family val="2"/>
        <charset val="163"/>
      </rPr>
      <t>II</t>
    </r>
  </si>
  <si>
    <t>Giá trị tính toán</t>
  </si>
  <si>
    <t>IAi - AtbI</t>
  </si>
  <si>
    <t>(Ai- Atb)2</t>
  </si>
  <si>
    <t>5a</t>
  </si>
  <si>
    <t>NA</t>
  </si>
  <si>
    <t>5b</t>
  </si>
  <si>
    <t>Cắt trực tiếp</t>
  </si>
  <si>
    <t>C</t>
  </si>
  <si>
    <t>φ</t>
  </si>
  <si>
    <t>Độ</t>
  </si>
  <si>
    <t>Trong lượng riêng tự nhiên</t>
  </si>
  <si>
    <t>Trong lượng riêng đẩy nổi</t>
  </si>
  <si>
    <t>Giới hạn Atterberg</t>
  </si>
  <si>
    <t>Phân tích cỡ hạt đât</t>
  </si>
  <si>
    <t>Nhan</t>
  </si>
  <si>
    <t>AI</t>
  </si>
  <si>
    <t>AII</t>
  </si>
  <si>
    <t>α II</t>
  </si>
  <si>
    <t>tα II</t>
  </si>
  <si>
    <t>ρ II</t>
  </si>
  <si>
    <t>α I</t>
  </si>
  <si>
    <t>tα I</t>
  </si>
  <si>
    <t>ρ I</t>
  </si>
  <si>
    <t>Atc</t>
  </si>
  <si>
    <t>NX</t>
  </si>
  <si>
    <t>Mẫu BC tổng</t>
  </si>
  <si>
    <t>ν ≤ [v] OK</t>
  </si>
  <si>
    <t xml:space="preserve"> - </t>
  </si>
  <si>
    <t>Phi</t>
  </si>
  <si>
    <t>-</t>
  </si>
  <si>
    <t>Tanphi</t>
  </si>
  <si>
    <r>
      <t>tg</t>
    </r>
    <r>
      <rPr>
        <b/>
        <sz val="11"/>
        <color theme="1"/>
        <rFont val="Arial"/>
        <family val="2"/>
        <charset val="163"/>
      </rPr>
      <t>φ</t>
    </r>
  </si>
  <si>
    <t>100 ÷ 100</t>
  </si>
  <si>
    <t>Tg phi</t>
  </si>
  <si>
    <t>ĐỘ ẨM W%</t>
  </si>
  <si>
    <t xml:space="preserve">TỶ TRỌNG Gs </t>
  </si>
  <si>
    <t>DUNG TRỌNG ĐẨY NỔI Ɣs (g/cm³)</t>
  </si>
  <si>
    <r>
      <t>DUNG TRỌNG ƯỚT ɣ</t>
    </r>
    <r>
      <rPr>
        <b/>
        <vertAlign val="subscript"/>
        <sz val="11"/>
        <color theme="3"/>
        <rFont val="Arial"/>
        <family val="2"/>
        <charset val="163"/>
      </rPr>
      <t>W</t>
    </r>
    <r>
      <rPr>
        <b/>
        <sz val="11"/>
        <color theme="3"/>
        <rFont val="Arial"/>
        <family val="2"/>
        <charset val="163"/>
      </rPr>
      <t xml:space="preserve">  (g/cm³)</t>
    </r>
  </si>
  <si>
    <r>
      <t xml:space="preserve"> DUNG TRỌNG KHÔ ɣ</t>
    </r>
    <r>
      <rPr>
        <b/>
        <vertAlign val="subscript"/>
        <sz val="11"/>
        <color theme="3"/>
        <rFont val="Arial"/>
        <family val="2"/>
        <charset val="163"/>
      </rPr>
      <t>d</t>
    </r>
    <r>
      <rPr>
        <b/>
        <sz val="11"/>
        <color theme="3"/>
        <rFont val="Arial"/>
        <family val="2"/>
        <charset val="163"/>
      </rPr>
      <t xml:space="preserve"> (g/cm³)</t>
    </r>
  </si>
  <si>
    <t>ĐỘ RỖNG n %</t>
  </si>
  <si>
    <t>HỆ SỐ RỖNG e</t>
  </si>
  <si>
    <t>ĐỘ BÃO HÒA S %</t>
  </si>
  <si>
    <t>DUNG TRỌNG</t>
  </si>
  <si>
    <t>GIỚI HẠN CHẢY DẺO</t>
  </si>
  <si>
    <t>ĐỘ SỆT B</t>
  </si>
  <si>
    <t># 19.1</t>
  </si>
  <si>
    <t># 4.76</t>
  </si>
  <si>
    <t># 2.00</t>
  </si>
  <si>
    <t>#  0.42</t>
  </si>
  <si>
    <t># 0.074</t>
  </si>
  <si>
    <t># 0.002</t>
  </si>
  <si>
    <t>PHÂN TÍCH CỠ HẠT ĐẤT (% Mịn hơn)</t>
  </si>
  <si>
    <t>NÉN ĐƠN Qu (kg/cm²)</t>
  </si>
  <si>
    <t>CHỈ SỐ NÉN Cc</t>
  </si>
  <si>
    <t>HỆ SỐ NÉN DẦN (cm²/kg)</t>
  </si>
  <si>
    <t>MODULE BIẾN DẠNG E1-2 (kg/cm²)</t>
  </si>
  <si>
    <t>σ (kg/cm²)</t>
  </si>
  <si>
    <t>τ (kg/cm²)</t>
  </si>
  <si>
    <t>CẮT TRỰC TIẾP</t>
  </si>
  <si>
    <t>τ - σ</t>
  </si>
  <si>
    <r>
      <t>tg</t>
    </r>
    <r>
      <rPr>
        <sz val="11"/>
        <color theme="1"/>
        <rFont val="Arial"/>
        <family val="2"/>
        <charset val="163"/>
      </rPr>
      <t>φ</t>
    </r>
    <r>
      <rPr>
        <vertAlign val="superscript"/>
        <sz val="8.25"/>
        <color theme="1"/>
        <rFont val="Calibri"/>
        <family val="2"/>
        <charset val="163"/>
      </rPr>
      <t xml:space="preserve">tc </t>
    </r>
    <r>
      <rPr>
        <sz val="8.25"/>
        <color theme="1"/>
        <rFont val="Calibri"/>
        <family val="2"/>
        <charset val="163"/>
      </rPr>
      <t>=</t>
    </r>
  </si>
  <si>
    <r>
      <t>σ</t>
    </r>
    <r>
      <rPr>
        <vertAlign val="subscript"/>
        <sz val="11"/>
        <color theme="1"/>
        <rFont val="Times New Roman"/>
        <family val="1"/>
        <charset val="163"/>
      </rPr>
      <t>tgφ =</t>
    </r>
  </si>
  <si>
    <r>
      <t>C</t>
    </r>
    <r>
      <rPr>
        <vertAlign val="superscript"/>
        <sz val="11"/>
        <color theme="1"/>
        <rFont val="Calibri"/>
        <family val="2"/>
        <charset val="163"/>
      </rPr>
      <t>tc</t>
    </r>
    <r>
      <rPr>
        <sz val="11"/>
        <color theme="1"/>
        <rFont val="Calibri"/>
        <family val="2"/>
        <charset val="163"/>
      </rPr>
      <t xml:space="preserve"> =</t>
    </r>
  </si>
  <si>
    <r>
      <t>σ</t>
    </r>
    <r>
      <rPr>
        <vertAlign val="subscript"/>
        <sz val="11"/>
        <color theme="1"/>
        <rFont val="Times New Roman"/>
        <family val="1"/>
        <charset val="163"/>
      </rPr>
      <t>c =</t>
    </r>
  </si>
  <si>
    <r>
      <t>σ</t>
    </r>
    <r>
      <rPr>
        <vertAlign val="subscript"/>
        <sz val="11"/>
        <color theme="1"/>
        <rFont val="Times New Roman"/>
        <family val="1"/>
        <charset val="163"/>
      </rPr>
      <t>τ =</t>
    </r>
  </si>
  <si>
    <t>BẢNG TỔNG KẾT THỐNG KÊ CHỈ TIÊU CẮT TRỰC TIẾP</t>
  </si>
  <si>
    <t>CẤP ÁP LỰC (kg/cm²)</t>
  </si>
  <si>
    <t>ν ≤ [v] Tập hợp mẫu được chọn</t>
  </si>
  <si>
    <t>Atb</t>
  </si>
  <si>
    <t xml:space="preserve">σCM </t>
  </si>
  <si>
    <t>ϑσCM</t>
  </si>
  <si>
    <t>tα</t>
  </si>
  <si>
    <t>σtgφ</t>
  </si>
  <si>
    <t>νtgφ</t>
  </si>
  <si>
    <t>σc</t>
  </si>
  <si>
    <t>νc</t>
  </si>
  <si>
    <t>tgϕtc</t>
  </si>
  <si>
    <t>ϕtc</t>
  </si>
  <si>
    <t>ctc</t>
  </si>
  <si>
    <t>ρtgϕ</t>
  </si>
  <si>
    <t>tgϕI</t>
  </si>
  <si>
    <t>ϕI</t>
  </si>
  <si>
    <t>ρc</t>
  </si>
  <si>
    <t>cI</t>
  </si>
  <si>
    <t>tgϕII</t>
  </si>
  <si>
    <t>ϕII</t>
  </si>
  <si>
    <t>cII</t>
  </si>
  <si>
    <t>3b</t>
  </si>
  <si>
    <t>1 - 37</t>
  </si>
  <si>
    <t>1 - 39</t>
  </si>
  <si>
    <t>3a</t>
  </si>
  <si>
    <t>2 - 35</t>
  </si>
  <si>
    <t>2 - 37</t>
  </si>
  <si>
    <t>2 - 39</t>
  </si>
  <si>
    <t>2 - 41</t>
  </si>
  <si>
    <t>2 - 43</t>
  </si>
  <si>
    <t>2 - 45</t>
  </si>
  <si>
    <t>2 - 47</t>
  </si>
  <si>
    <t>3 - 1</t>
  </si>
  <si>
    <t>3 - 3</t>
  </si>
  <si>
    <t>3 - 5</t>
  </si>
  <si>
    <t>3 - 7</t>
  </si>
  <si>
    <t>3 - 9</t>
  </si>
  <si>
    <t>3 - 11</t>
  </si>
  <si>
    <t>3 - 13</t>
  </si>
  <si>
    <t>3 - 15</t>
  </si>
  <si>
    <t>3 - 17</t>
  </si>
  <si>
    <t>3 - 19</t>
  </si>
  <si>
    <t>3 - 21</t>
  </si>
  <si>
    <t>3 - 23</t>
  </si>
  <si>
    <t>3 - 25</t>
  </si>
  <si>
    <t>3 - 27</t>
  </si>
  <si>
    <t>3 - 29</t>
  </si>
  <si>
    <t>3 - 31</t>
  </si>
  <si>
    <t>3 - 33</t>
  </si>
  <si>
    <t>3 - 35</t>
  </si>
  <si>
    <t>3 - 37</t>
  </si>
  <si>
    <t>3 - 39</t>
  </si>
  <si>
    <t>1-1</t>
  </si>
  <si>
    <t>1-3</t>
  </si>
  <si>
    <t>1-5</t>
  </si>
  <si>
    <t>1-7</t>
  </si>
  <si>
    <t>1-9</t>
  </si>
  <si>
    <t>1-11</t>
  </si>
  <si>
    <t>2-1</t>
  </si>
  <si>
    <t>2-3</t>
  </si>
  <si>
    <t>2-5</t>
  </si>
  <si>
    <t>2-7</t>
  </si>
  <si>
    <t>2-9</t>
  </si>
  <si>
    <t>2-11</t>
  </si>
  <si>
    <t>2- 43</t>
  </si>
  <si>
    <t>3-3</t>
  </si>
  <si>
    <t>3-5</t>
  </si>
  <si>
    <t>3-7</t>
  </si>
  <si>
    <t>3-9</t>
  </si>
  <si>
    <t>3-11</t>
  </si>
  <si>
    <t>ĐỊA CHẤT 3B (2)</t>
  </si>
  <si>
    <t>ĐỊA CHẤT 3B (1)</t>
  </si>
  <si>
    <t>1.466 ÷ 1.492</t>
  </si>
  <si>
    <t>1.471 ÷ 1.487</t>
  </si>
  <si>
    <t>0.797 ÷ 0.848</t>
  </si>
  <si>
    <t>0.807 ÷ 0.838</t>
  </si>
  <si>
    <t>ν &gt; [v] not OK</t>
  </si>
  <si>
    <t>0.491 ÷ 0.523</t>
  </si>
  <si>
    <t>0.497 ÷ 0.517</t>
  </si>
  <si>
    <t>1.92 ÷ 1.946</t>
  </si>
  <si>
    <t>1.925 ÷ 1.941</t>
  </si>
  <si>
    <t>1.576 ÷ 1.617</t>
  </si>
  <si>
    <t>1.584 ÷ 1.609</t>
  </si>
  <si>
    <t>0.986 ÷ 1.01</t>
  </si>
  <si>
    <t>0.991 ÷ 1.006</t>
  </si>
  <si>
    <t>25.483 ÷ 26.692</t>
  </si>
  <si>
    <t>25.731 ÷ 26.444</t>
  </si>
  <si>
    <t>1.84 ÷ 1.857</t>
  </si>
  <si>
    <t>1.844 ÷ 1.853</t>
  </si>
  <si>
    <t>1.453 ÷ 1.479</t>
  </si>
  <si>
    <t>1.459 ÷ 1.474</t>
  </si>
  <si>
    <t>0.909 ÷ 0.925</t>
  </si>
  <si>
    <t>0.912 ÷ 0.921</t>
  </si>
  <si>
    <t>2.666 ÷ 2.667</t>
  </si>
  <si>
    <t>2.667 ÷ 2.667</t>
  </si>
  <si>
    <t>44.537 ÷ 45.538</t>
  </si>
  <si>
    <t>44.743 ÷ 45.332</t>
  </si>
  <si>
    <t>0.803 ÷ 0.836</t>
  </si>
  <si>
    <t>0.809 ÷ 0.829</t>
  </si>
  <si>
    <t>84.396 ÷ 85.454</t>
  </si>
  <si>
    <t>84.613 ÷ 85.237</t>
  </si>
  <si>
    <t>83.237 ÷ 86.013</t>
  </si>
  <si>
    <t>83.807 ÷ 85.443</t>
  </si>
  <si>
    <t>14.169 ÷ 17.831</t>
  </si>
  <si>
    <t>14.921 ÷ 17.079</t>
  </si>
  <si>
    <t>6.05 ÷ 7.95</t>
  </si>
  <si>
    <t>6.44 ÷ 7.56</t>
  </si>
  <si>
    <t>24.013°</t>
  </si>
  <si>
    <t>7.839°</t>
  </si>
  <si>
    <t>7.294° ÷ 8.383°</t>
  </si>
  <si>
    <t>0.128 ÷ 0.147</t>
  </si>
  <si>
    <t>7.496° ÷ 8.182°</t>
  </si>
  <si>
    <t>0.132 ÷ 0.144</t>
  </si>
  <si>
    <t>ν &gt; [v]  not OK</t>
  </si>
  <si>
    <t>29.169°</t>
  </si>
  <si>
    <t>28.152° ÷ 30.166°</t>
  </si>
  <si>
    <t>0.535 ÷ 0.581</t>
  </si>
  <si>
    <t>28.572° ÷ 29.759°</t>
  </si>
  <si>
    <t>0.545 ÷ 0.572</t>
  </si>
  <si>
    <t>25.256°</t>
  </si>
  <si>
    <t>24.462° ÷ 26.039°</t>
  </si>
  <si>
    <t>0.455 ÷ 0.489</t>
  </si>
  <si>
    <t>24.813° ÷ 25.695°</t>
  </si>
  <si>
    <t>0.462 ÷ 0.481</t>
  </si>
  <si>
    <t>30.073°</t>
  </si>
  <si>
    <t>29.276° ÷ 30.858°</t>
  </si>
  <si>
    <t>0.561 ÷ 0.597</t>
  </si>
  <si>
    <t>29.577° ÷ 30.565°</t>
  </si>
  <si>
    <t>0.568 ÷ 0.591</t>
  </si>
  <si>
    <t>26.131°</t>
  </si>
  <si>
    <t>25.063° ÷ 27.179°</t>
  </si>
  <si>
    <t>0.468 ÷ 0.513</t>
  </si>
  <si>
    <t>25.475° ÷ 26.779°</t>
  </si>
  <si>
    <t>0.476 ÷ 0.505</t>
  </si>
  <si>
    <t>ν &gt; [v] Tập hợp mẫu chứa sai số lớn</t>
  </si>
  <si>
    <t>14.762°</t>
  </si>
  <si>
    <t>11.609° ÷ 17.826°</t>
  </si>
  <si>
    <t>0.205 ÷ 0.322</t>
  </si>
  <si>
    <t>12.848° ÷ 16.643°</t>
  </si>
  <si>
    <t>0.228 ÷ 0.299</t>
  </si>
  <si>
    <t xml:space="preserve">KẾT QUẢ THỐNG KÊ ĐỊA CHẤT </t>
  </si>
  <si>
    <t>0.04711 ÷ 0.29796</t>
  </si>
  <si>
    <t>0.09600 ÷ 0.24906</t>
  </si>
  <si>
    <t>0.07081 ÷ 0.07660</t>
  </si>
  <si>
    <t>0.07188 ÷ 0.07552</t>
  </si>
  <si>
    <t>-0.02036 ÷ 0.07925</t>
  </si>
  <si>
    <t>0.00009 ÷ 0.05880</t>
  </si>
  <si>
    <t>-0.00802 ÷ 0.06468</t>
  </si>
  <si>
    <t>0.00802 ÷ 0.04864</t>
  </si>
  <si>
    <t>-0.01011 ÷ 0.06951</t>
  </si>
  <si>
    <t>0.00482 ÷ 0.05459</t>
  </si>
  <si>
    <t>0.5 ÷ 0.535</t>
  </si>
  <si>
    <t>0.507 ÷ 0.527</t>
  </si>
  <si>
    <t>0.974 ÷ 1.042</t>
  </si>
  <si>
    <t>0.988 ÷ 1.028</t>
  </si>
  <si>
    <t>1.448 ÷ 1.549</t>
  </si>
  <si>
    <t>1.468 ÷ 1.528</t>
  </si>
  <si>
    <t>-0.02286 ÷ 0.07611</t>
  </si>
  <si>
    <t>-0.00387 ÷ 0.05712</t>
  </si>
  <si>
    <t>Lop dat 5b</t>
  </si>
  <si>
    <t>n = 24</t>
  </si>
  <si>
    <t>BẢNG TRA 1 - TRỊ TIÊU CHUẨN THỐNG KÊ THEO SỐ LƯỢNG MẪU THÍ NGHIỆM (Bảng 4.17 trang 270, sách Địa Chất Công Trình – Bùi Trường Sơn)</t>
  </si>
  <si>
    <t>(theo QPXD 45-78)</t>
  </si>
  <si>
    <t>BẢNG TRA 3 - HỆ SỐ BIẾN ĐỘNG THEO TỪNG LOẠI ĐẶT TRƯNG, Bảng 4.16 trang 268, sách Địa Chất Công Trình – Bùi Trường Sơn (theo QPXD 45-78)</t>
  </si>
  <si>
    <t>BẢNG TRA 2 - HỆ SỐ PHỤ THUỘC XÁC SUẤT TIN CẬY THEO SỐ LƯỢNG TN, Bảng 4.18 trang 277, sách Địa Chất Công Trình – Bùi Trường Sơn (theo QPXD 45-78)</t>
  </si>
  <si>
    <t>BẤM CTRL + SHIFT + R  để xuất báo cáo, or Nhấn nút bên   &gt;&gt;&gt;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</si>
</sst>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00"/>
    <numFmt numFmtId="165" formatCode="0.0000"/>
    <numFmt numFmtId="166" formatCode="0.000"/>
    <numFmt numFmtId="167" formatCode="0.0"/>
  </numFmts>
  <fonts count="36" x14ac:knownFonts="1">
    <font>
      <sz val="11"/>
      <color theme="1"/>
      <name val="Arial"/>
      <family val="2"/>
      <scheme val="minor"/>
    </font>
    <font>
      <sz val="11"/>
      <color theme="1"/>
      <name val="Calibri"/>
      <family val="2"/>
      <charset val="163"/>
    </font>
    <font>
      <sz val="11"/>
      <color theme="1"/>
      <name val="Arial"/>
      <family val="2"/>
      <charset val="163"/>
    </font>
    <font>
      <sz val="11"/>
      <color theme="1"/>
      <name val="Arial"/>
      <family val="2"/>
      <charset val="163"/>
    </font>
    <font>
      <sz val="11"/>
      <color theme="1"/>
      <name val="Arial"/>
      <family val="2"/>
      <charset val="163"/>
    </font>
    <font>
      <sz val="11"/>
      <color theme="1"/>
      <name val="Arial"/>
      <family val="2"/>
      <charset val="163"/>
    </font>
    <font>
      <b/>
      <sz val="18"/>
      <color theme="3"/>
      <name val="Times New Roman"/>
      <family val="2"/>
      <charset val="163"/>
      <scheme val="major"/>
    </font>
    <font>
      <b/>
      <sz val="11"/>
      <color theme="3"/>
      <name val="Arial"/>
      <family val="2"/>
      <charset val="163"/>
    </font>
    <font>
      <sz val="8"/>
      <color indexed="81"/>
      <name val="Tahoma"/>
      <family val="2"/>
      <charset val="163"/>
    </font>
    <font>
      <b/>
      <sz val="8"/>
      <color indexed="81"/>
      <name val="Tahoma"/>
      <family val="2"/>
      <charset val="163"/>
    </font>
    <font>
      <b/>
      <sz val="11"/>
      <color theme="3"/>
      <name val="Calibri"/>
      <family val="2"/>
      <charset val="163"/>
    </font>
    <font>
      <sz val="11"/>
      <color theme="1"/>
      <name val="Calibri"/>
      <family val="2"/>
      <charset val="163"/>
    </font>
    <font>
      <sz val="12"/>
      <color theme="1"/>
      <name val="Calibri"/>
      <family val="2"/>
      <charset val="163"/>
    </font>
    <font>
      <sz val="11"/>
      <color rgb="FFFF0000"/>
      <name val="Calibri"/>
      <family val="2"/>
      <charset val="163"/>
    </font>
    <font>
      <b/>
      <sz val="11"/>
      <color theme="1"/>
      <name val="Calibri"/>
      <family val="2"/>
      <charset val="163"/>
    </font>
    <font>
      <b/>
      <sz val="12"/>
      <color theme="3"/>
      <name val="Calibri"/>
      <family val="2"/>
      <charset val="163"/>
    </font>
    <font>
      <sz val="11"/>
      <name val="Calibri"/>
      <family val="2"/>
      <charset val="163"/>
    </font>
    <font>
      <vertAlign val="subscript"/>
      <sz val="11"/>
      <color theme="1"/>
      <name val="Arial"/>
      <family val="2"/>
      <charset val="163"/>
    </font>
    <font>
      <vertAlign val="subscript"/>
      <sz val="11"/>
      <color theme="1"/>
      <name val="Calibri"/>
      <family val="2"/>
      <charset val="163"/>
    </font>
    <font>
      <vertAlign val="superscript"/>
      <sz val="11"/>
      <color theme="1"/>
      <name val="Calibri"/>
      <family val="2"/>
      <charset val="163"/>
    </font>
    <font>
      <sz val="11"/>
      <color theme="0"/>
      <name val="Arial"/>
      <family val="2"/>
      <charset val="163"/>
    </font>
    <font>
      <i/>
      <sz val="11"/>
      <color theme="0"/>
      <name val="Arial"/>
      <family val="2"/>
      <charset val="163"/>
    </font>
    <font>
      <b/>
      <sz val="14"/>
      <color rgb="FFFF0000"/>
      <name val="Calibri"/>
      <family val="2"/>
      <charset val="163"/>
    </font>
    <font>
      <b/>
      <vertAlign val="subscript"/>
      <sz val="11"/>
      <color theme="1"/>
      <name val="Calibri"/>
      <family val="2"/>
      <charset val="163"/>
    </font>
    <font>
      <b/>
      <sz val="11"/>
      <color rgb="FFFF0000"/>
      <name val="Calibri"/>
      <family val="2"/>
      <charset val="163"/>
    </font>
    <font>
      <b/>
      <sz val="11"/>
      <color theme="1"/>
      <name val="Arial"/>
      <family val="2"/>
      <charset val="163"/>
    </font>
    <font>
      <b/>
      <sz val="11"/>
      <color theme="1"/>
      <name val="Times New Roman"/>
      <family val="1"/>
      <charset val="163"/>
    </font>
    <font>
      <sz val="11"/>
      <color theme="1"/>
      <name val="Times New Roman"/>
      <family val="1"/>
      <charset val="163"/>
    </font>
    <font>
      <b/>
      <vertAlign val="subscript"/>
      <sz val="11"/>
      <color theme="3"/>
      <name val="Arial"/>
      <family val="2"/>
      <charset val="163"/>
    </font>
    <font>
      <sz val="8.25"/>
      <color theme="1"/>
      <name val="Calibri"/>
      <family val="2"/>
      <charset val="163"/>
    </font>
    <font>
      <vertAlign val="superscript"/>
      <sz val="8.25"/>
      <color theme="1"/>
      <name val="Calibri"/>
      <family val="2"/>
      <charset val="163"/>
    </font>
    <font>
      <vertAlign val="subscript"/>
      <sz val="11"/>
      <color theme="1"/>
      <name val="Times New Roman"/>
      <family val="1"/>
      <charset val="163"/>
    </font>
    <font>
      <b/>
      <sz val="12"/>
      <color theme="1"/>
      <name val="Calibri"/>
      <family val="2"/>
      <charset val="163"/>
    </font>
    <font>
      <b/>
      <i/>
      <sz val="18"/>
      <color rgb="FFFF0000"/>
      <name val="Arial"/>
      <family val="2"/>
      <charset val="163"/>
      <scheme val="minor"/>
    </font>
    <font>
      <b/>
      <sz val="26"/>
      <name val="Times New Roman"/>
      <family val="2"/>
      <scheme val="major"/>
    </font>
    <font>
      <sz val="12"/>
      <color theme="1"/>
      <name val="Times New Roman"/>
      <family val="1"/>
      <charset val="163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0" fillId="3" borderId="0" applyNumberFormat="0" applyBorder="0" applyAlignment="0" applyProtection="0"/>
  </cellStyleXfs>
  <cellXfs count="485">
    <xf numFmtId="0" fontId="0" fillId="0" borderId="0" xfId="0"/>
    <xf numFmtId="49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6" fillId="0" borderId="0" xfId="1"/>
    <xf numFmtId="11" fontId="1" fillId="0" borderId="10" xfId="0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49" fontId="14" fillId="0" borderId="8" xfId="0" applyNumberFormat="1" applyFont="1" applyBorder="1" applyAlignment="1">
      <alignment horizontal="center" vertical="center"/>
    </xf>
    <xf numFmtId="0" fontId="14" fillId="0" borderId="9" xfId="0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center" wrapText="1"/>
    </xf>
    <xf numFmtId="49" fontId="13" fillId="0" borderId="5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27" fillId="0" borderId="35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27" fillId="0" borderId="26" xfId="0" applyFont="1" applyBorder="1" applyAlignment="1">
      <alignment horizontal="center" vertical="center"/>
    </xf>
    <xf numFmtId="11" fontId="1" fillId="0" borderId="0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1" fillId="0" borderId="5" xfId="0" applyNumberFormat="1" applyFont="1" applyBorder="1" applyAlignment="1">
      <alignment horizontal="center" vertical="center"/>
    </xf>
    <xf numFmtId="0" fontId="15" fillId="0" borderId="0" xfId="1" applyFont="1" applyAlignment="1" applyProtection="1">
      <alignment horizontal="left"/>
    </xf>
    <xf numFmtId="0" fontId="11" fillId="0" borderId="0" xfId="0" applyFont="1" applyAlignment="1" applyProtection="1">
      <alignment horizontal="center"/>
    </xf>
    <xf numFmtId="0" fontId="11" fillId="0" borderId="0" xfId="0" applyFont="1" applyProtection="1"/>
    <xf numFmtId="0" fontId="21" fillId="3" borderId="1" xfId="3" applyFont="1" applyBorder="1" applyAlignment="1" applyProtection="1">
      <alignment horizontal="center" vertical="center" wrapText="1"/>
    </xf>
    <xf numFmtId="0" fontId="11" fillId="2" borderId="1" xfId="0" applyFont="1" applyFill="1" applyBorder="1" applyAlignment="1" applyProtection="1">
      <alignment horizontal="center" vertical="center" wrapText="1"/>
    </xf>
    <xf numFmtId="2" fontId="11" fillId="2" borderId="1" xfId="0" applyNumberFormat="1" applyFont="1" applyFill="1" applyBorder="1" applyAlignment="1" applyProtection="1">
      <alignment horizontal="center" vertical="center" wrapText="1"/>
    </xf>
    <xf numFmtId="2" fontId="11" fillId="0" borderId="1" xfId="0" applyNumberFormat="1" applyFont="1" applyBorder="1" applyAlignment="1" applyProtection="1">
      <alignment horizontal="center"/>
    </xf>
    <xf numFmtId="2" fontId="11" fillId="0" borderId="0" xfId="0" applyNumberFormat="1" applyFont="1" applyFill="1" applyBorder="1" applyAlignment="1" applyProtection="1">
      <alignment horizontal="center" vertical="center" wrapText="1"/>
    </xf>
    <xf numFmtId="0" fontId="21" fillId="3" borderId="10" xfId="3" applyFont="1" applyBorder="1" applyAlignment="1" applyProtection="1">
      <alignment vertical="center" wrapText="1"/>
    </xf>
    <xf numFmtId="0" fontId="21" fillId="3" borderId="11" xfId="3" applyFont="1" applyBorder="1" applyAlignment="1" applyProtection="1">
      <alignment vertical="center" wrapText="1"/>
    </xf>
    <xf numFmtId="2" fontId="21" fillId="3" borderId="1" xfId="3" applyNumberFormat="1" applyFont="1" applyBorder="1" applyAlignment="1" applyProtection="1">
      <alignment horizontal="center" vertical="center" wrapText="1"/>
    </xf>
    <xf numFmtId="0" fontId="21" fillId="3" borderId="1" xfId="3" applyFont="1" applyBorder="1" applyAlignment="1" applyProtection="1">
      <alignment horizontal="center"/>
    </xf>
    <xf numFmtId="0" fontId="11" fillId="0" borderId="1" xfId="0" applyFont="1" applyFill="1" applyBorder="1" applyAlignment="1" applyProtection="1">
      <alignment horizontal="center" vertical="center" wrapText="1"/>
    </xf>
    <xf numFmtId="2" fontId="11" fillId="0" borderId="1" xfId="0" applyNumberFormat="1" applyFont="1" applyFill="1" applyBorder="1" applyAlignment="1" applyProtection="1">
      <alignment horizontal="center" vertical="center"/>
    </xf>
    <xf numFmtId="0" fontId="1" fillId="0" borderId="0" xfId="0" applyFont="1" applyProtection="1"/>
    <xf numFmtId="0" fontId="1" fillId="0" borderId="1" xfId="0" applyFont="1" applyBorder="1" applyProtection="1"/>
    <xf numFmtId="0" fontId="11" fillId="0" borderId="1" xfId="0" applyFont="1" applyBorder="1" applyAlignment="1" applyProtection="1">
      <alignment horizontal="center"/>
    </xf>
    <xf numFmtId="0" fontId="22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Protection="1">
      <protection locked="0"/>
    </xf>
    <xf numFmtId="0" fontId="11" fillId="0" borderId="0" xfId="0" applyFont="1" applyProtection="1"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4" fillId="0" borderId="0" xfId="0" applyFont="1" applyBorder="1" applyProtection="1">
      <protection locked="0"/>
    </xf>
    <xf numFmtId="0" fontId="14" fillId="0" borderId="0" xfId="0" applyFont="1" applyProtection="1">
      <protection locked="0"/>
    </xf>
    <xf numFmtId="0" fontId="14" fillId="0" borderId="1" xfId="0" applyFont="1" applyBorder="1" applyAlignment="1" applyProtection="1">
      <alignment horizontal="center"/>
      <protection locked="0"/>
    </xf>
    <xf numFmtId="166" fontId="24" fillId="0" borderId="0" xfId="0" applyNumberFormat="1" applyFont="1" applyBorder="1" applyAlignment="1" applyProtection="1">
      <alignment horizontal="center"/>
      <protection locked="0"/>
    </xf>
    <xf numFmtId="0" fontId="24" fillId="0" borderId="0" xfId="0" applyFont="1" applyBorder="1" applyAlignment="1" applyProtection="1">
      <alignment horizontal="center"/>
      <protection locked="0"/>
    </xf>
    <xf numFmtId="0" fontId="14" fillId="0" borderId="0" xfId="0" applyFont="1" applyBorder="1" applyAlignment="1" applyProtection="1">
      <alignment horizontal="center"/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167" fontId="24" fillId="0" borderId="0" xfId="0" applyNumberFormat="1" applyFont="1" applyBorder="1" applyAlignment="1" applyProtection="1">
      <alignment horizontal="center"/>
      <protection locked="0"/>
    </xf>
    <xf numFmtId="0" fontId="24" fillId="0" borderId="0" xfId="0" applyNumberFormat="1" applyFont="1" applyBorder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6" fillId="0" borderId="0" xfId="1" applyAlignment="1" applyProtection="1">
      <alignment horizontal="left"/>
    </xf>
    <xf numFmtId="0" fontId="6" fillId="0" borderId="0" xfId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33" fillId="0" borderId="0" xfId="0" applyFont="1" applyAlignment="1" applyProtection="1">
      <alignment horizontal="left"/>
    </xf>
    <xf numFmtId="0" fontId="0" fillId="0" borderId="0" xfId="0" applyProtection="1"/>
    <xf numFmtId="0" fontId="14" fillId="0" borderId="22" xfId="0" applyFont="1" applyBorder="1" applyAlignment="1" applyProtection="1">
      <alignment horizontal="center"/>
    </xf>
    <xf numFmtId="49" fontId="14" fillId="0" borderId="22" xfId="0" applyNumberFormat="1" applyFont="1" applyBorder="1" applyAlignment="1" applyProtection="1">
      <alignment horizontal="center"/>
    </xf>
    <xf numFmtId="0" fontId="14" fillId="0" borderId="28" xfId="0" applyFont="1" applyBorder="1" applyAlignment="1" applyProtection="1">
      <alignment horizontal="center"/>
    </xf>
    <xf numFmtId="0" fontId="14" fillId="0" borderId="29" xfId="0" applyFont="1" applyFill="1" applyBorder="1" applyAlignment="1" applyProtection="1">
      <alignment horizontal="center"/>
    </xf>
    <xf numFmtId="0" fontId="14" fillId="0" borderId="23" xfId="0" applyFont="1" applyBorder="1" applyAlignment="1" applyProtection="1">
      <alignment horizontal="center"/>
    </xf>
    <xf numFmtId="49" fontId="14" fillId="0" borderId="23" xfId="0" applyNumberFormat="1" applyFont="1" applyBorder="1" applyAlignment="1" applyProtection="1">
      <alignment horizontal="center"/>
    </xf>
    <xf numFmtId="0" fontId="14" fillId="0" borderId="30" xfId="0" applyFont="1" applyBorder="1" applyAlignment="1" applyProtection="1">
      <alignment horizontal="center"/>
    </xf>
    <xf numFmtId="0" fontId="14" fillId="0" borderId="3" xfId="0" applyFont="1" applyBorder="1" applyAlignment="1" applyProtection="1">
      <alignment horizontal="center"/>
    </xf>
    <xf numFmtId="0" fontId="14" fillId="0" borderId="1" xfId="0" applyFont="1" applyBorder="1" applyAlignment="1" applyProtection="1">
      <alignment horizontal="center"/>
    </xf>
    <xf numFmtId="0" fontId="14" fillId="0" borderId="2" xfId="0" applyFont="1" applyBorder="1" applyAlignment="1" applyProtection="1">
      <alignment horizontal="center"/>
    </xf>
    <xf numFmtId="0" fontId="14" fillId="0" borderId="31" xfId="0" applyFont="1" applyBorder="1" applyProtection="1"/>
    <xf numFmtId="0" fontId="14" fillId="0" borderId="32" xfId="0" applyFont="1" applyBorder="1" applyAlignment="1" applyProtection="1">
      <alignment horizontal="center"/>
    </xf>
    <xf numFmtId="0" fontId="14" fillId="0" borderId="16" xfId="0" applyFont="1" applyBorder="1" applyAlignment="1" applyProtection="1">
      <alignment horizontal="center" vertical="center"/>
    </xf>
    <xf numFmtId="0" fontId="14" fillId="0" borderId="10" xfId="0" applyFont="1" applyBorder="1" applyAlignment="1" applyProtection="1">
      <alignment horizontal="center" vertical="center"/>
    </xf>
    <xf numFmtId="0" fontId="14" fillId="0" borderId="17" xfId="0" applyFont="1" applyBorder="1" applyAlignment="1" applyProtection="1">
      <alignment horizontal="center" vertical="center"/>
    </xf>
    <xf numFmtId="0" fontId="14" fillId="0" borderId="32" xfId="0" applyFont="1" applyFill="1" applyBorder="1" applyAlignment="1" applyProtection="1">
      <alignment horizontal="center" vertical="center"/>
    </xf>
    <xf numFmtId="0" fontId="14" fillId="0" borderId="16" xfId="0" applyFont="1" applyBorder="1" applyAlignment="1" applyProtection="1">
      <alignment horizontal="center"/>
    </xf>
    <xf numFmtId="0" fontId="14" fillId="0" borderId="10" xfId="0" applyFont="1" applyBorder="1" applyAlignment="1" applyProtection="1">
      <alignment horizontal="center"/>
    </xf>
    <xf numFmtId="0" fontId="14" fillId="0" borderId="17" xfId="0" applyFont="1" applyBorder="1" applyAlignment="1" applyProtection="1">
      <alignment horizontal="center"/>
    </xf>
    <xf numFmtId="0" fontId="14" fillId="0" borderId="33" xfId="0" applyFont="1" applyFill="1" applyBorder="1" applyAlignment="1" applyProtection="1">
      <alignment horizontal="center"/>
    </xf>
    <xf numFmtId="0" fontId="11" fillId="0" borderId="0" xfId="0" applyFont="1" applyAlignment="1" applyProtection="1">
      <alignment horizontal="center" vertical="center"/>
      <protection locked="0"/>
    </xf>
    <xf numFmtId="49" fontId="11" fillId="0" borderId="0" xfId="0" applyNumberFormat="1" applyFont="1" applyAlignment="1" applyProtection="1">
      <alignment horizontal="center" vertical="center"/>
      <protection locked="0"/>
    </xf>
    <xf numFmtId="0" fontId="14" fillId="0" borderId="28" xfId="0" applyFont="1" applyBorder="1" applyAlignment="1" applyProtection="1">
      <alignment horizontal="center" vertical="center"/>
    </xf>
    <xf numFmtId="0" fontId="14" fillId="0" borderId="27" xfId="0" applyFont="1" applyBorder="1" applyAlignment="1" applyProtection="1">
      <alignment horizontal="center" vertical="center"/>
    </xf>
    <xf numFmtId="49" fontId="14" fillId="0" borderId="28" xfId="0" applyNumberFormat="1" applyFont="1" applyBorder="1" applyAlignment="1" applyProtection="1">
      <alignment horizontal="center" vertical="center"/>
    </xf>
    <xf numFmtId="0" fontId="14" fillId="0" borderId="30" xfId="0" applyFont="1" applyBorder="1" applyAlignment="1" applyProtection="1">
      <alignment horizontal="center" vertical="center"/>
    </xf>
    <xf numFmtId="0" fontId="14" fillId="0" borderId="26" xfId="0" applyFont="1" applyBorder="1" applyAlignment="1" applyProtection="1">
      <alignment horizontal="center" vertical="center"/>
    </xf>
    <xf numFmtId="49" fontId="14" fillId="0" borderId="30" xfId="0" applyNumberFormat="1" applyFont="1" applyBorder="1" applyAlignment="1" applyProtection="1">
      <alignment horizontal="center" vertical="center"/>
    </xf>
    <xf numFmtId="0" fontId="14" fillId="0" borderId="32" xfId="0" applyFont="1" applyBorder="1" applyAlignment="1" applyProtection="1">
      <alignment horizontal="center" vertical="center"/>
    </xf>
    <xf numFmtId="0" fontId="14" fillId="0" borderId="42" xfId="0" applyFont="1" applyBorder="1" applyAlignment="1" applyProtection="1">
      <alignment horizontal="center" vertical="center"/>
    </xf>
    <xf numFmtId="49" fontId="14" fillId="0" borderId="32" xfId="0" applyNumberFormat="1" applyFont="1" applyBorder="1" applyAlignment="1" applyProtection="1">
      <alignment horizontal="center" vertical="center"/>
    </xf>
    <xf numFmtId="0" fontId="26" fillId="0" borderId="32" xfId="0" applyFont="1" applyBorder="1" applyAlignment="1" applyProtection="1">
      <alignment horizontal="center" vertical="center"/>
    </xf>
    <xf numFmtId="0" fontId="14" fillId="0" borderId="7" xfId="0" applyFont="1" applyBorder="1" applyAlignment="1" applyProtection="1">
      <alignment horizontal="center" vertical="center"/>
      <protection locked="0"/>
    </xf>
    <xf numFmtId="0" fontId="14" fillId="0" borderId="8" xfId="0" applyFont="1" applyBorder="1" applyAlignment="1" applyProtection="1">
      <alignment horizontal="center" vertical="center"/>
      <protection locked="0"/>
    </xf>
    <xf numFmtId="0" fontId="14" fillId="0" borderId="9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49" fontId="11" fillId="0" borderId="1" xfId="0" applyNumberFormat="1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165" fontId="11" fillId="0" borderId="1" xfId="0" applyNumberFormat="1" applyFont="1" applyBorder="1" applyAlignment="1" applyProtection="1">
      <alignment horizontal="center" vertical="center"/>
      <protection locked="0"/>
    </xf>
    <xf numFmtId="11" fontId="11" fillId="0" borderId="1" xfId="0" applyNumberFormat="1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16" xfId="0" applyFont="1" applyBorder="1" applyAlignment="1" applyProtection="1">
      <alignment horizontal="center" vertical="center"/>
      <protection locked="0"/>
    </xf>
    <xf numFmtId="16" fontId="11" fillId="0" borderId="10" xfId="0" applyNumberFormat="1" applyFont="1" applyBorder="1" applyAlignment="1" applyProtection="1">
      <alignment vertical="center"/>
      <protection locked="0"/>
    </xf>
    <xf numFmtId="0" fontId="11" fillId="0" borderId="10" xfId="0" applyFont="1" applyBorder="1" applyAlignment="1" applyProtection="1">
      <alignment horizontal="center" vertical="center"/>
      <protection locked="0"/>
    </xf>
    <xf numFmtId="165" fontId="11" fillId="0" borderId="10" xfId="0" applyNumberFormat="1" applyFont="1" applyBorder="1" applyAlignment="1" applyProtection="1">
      <alignment horizontal="center" vertical="center"/>
      <protection locked="0"/>
    </xf>
    <xf numFmtId="11" fontId="1" fillId="0" borderId="10" xfId="0" applyNumberFormat="1" applyFont="1" applyBorder="1" applyAlignment="1" applyProtection="1">
      <alignment horizontal="center" vertical="center"/>
      <protection locked="0"/>
    </xf>
    <xf numFmtId="0" fontId="11" fillId="0" borderId="17" xfId="0" applyFont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16" fontId="11" fillId="0" borderId="8" xfId="0" applyNumberFormat="1" applyFont="1" applyBorder="1" applyAlignment="1" applyProtection="1">
      <alignment horizontal="center" vertical="center"/>
      <protection locked="0"/>
    </xf>
    <xf numFmtId="0" fontId="11" fillId="0" borderId="8" xfId="0" applyFont="1" applyBorder="1" applyAlignment="1" applyProtection="1">
      <alignment horizontal="center" vertical="center"/>
      <protection locked="0"/>
    </xf>
    <xf numFmtId="0" fontId="1" fillId="0" borderId="7" xfId="0" applyFont="1" applyBorder="1" applyAlignment="1" applyProtection="1">
      <alignment horizontal="center"/>
      <protection locked="0"/>
    </xf>
    <xf numFmtId="1" fontId="16" fillId="0" borderId="9" xfId="0" applyNumberFormat="1" applyFont="1" applyBorder="1" applyAlignment="1" applyProtection="1">
      <alignment horizontal="center" vertical="center"/>
      <protection locked="0"/>
    </xf>
    <xf numFmtId="16" fontId="1" fillId="0" borderId="1" xfId="0" applyNumberFormat="1" applyFont="1" applyBorder="1" applyAlignment="1" applyProtection="1">
      <alignment horizontal="center" vertical="center"/>
      <protection locked="0"/>
    </xf>
    <xf numFmtId="166" fontId="11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18" xfId="0" applyNumberFormat="1" applyFont="1" applyBorder="1" applyAlignment="1" applyProtection="1">
      <alignment horizontal="center" vertical="center"/>
      <protection locked="0"/>
    </xf>
    <xf numFmtId="16" fontId="11" fillId="0" borderId="1" xfId="0" applyNumberFormat="1" applyFont="1" applyBorder="1" applyAlignment="1" applyProtection="1">
      <alignment horizontal="center" vertical="center"/>
      <protection locked="0"/>
    </xf>
    <xf numFmtId="0" fontId="11" fillId="0" borderId="20" xfId="0" applyFont="1" applyBorder="1" applyAlignment="1" applyProtection="1">
      <alignment horizontal="center"/>
      <protection locked="0"/>
    </xf>
    <xf numFmtId="0" fontId="11" fillId="0" borderId="3" xfId="0" applyFont="1" applyBorder="1" applyAlignment="1" applyProtection="1">
      <alignment horizontal="center" wrapText="1"/>
      <protection locked="0"/>
    </xf>
    <xf numFmtId="17" fontId="1" fillId="0" borderId="1" xfId="0" applyNumberFormat="1" applyFont="1" applyBorder="1" applyAlignment="1" applyProtection="1">
      <alignment horizontal="center" vertical="center"/>
      <protection locked="0"/>
    </xf>
    <xf numFmtId="166" fontId="11" fillId="0" borderId="1" xfId="0" applyNumberFormat="1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" fillId="0" borderId="20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1" fillId="0" borderId="5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16" fontId="11" fillId="0" borderId="0" xfId="0" applyNumberFormat="1" applyFont="1" applyProtection="1">
      <protection locked="0"/>
    </xf>
    <xf numFmtId="0" fontId="1" fillId="0" borderId="16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166" fontId="16" fillId="0" borderId="21" xfId="0" applyNumberFormat="1" applyFont="1" applyBorder="1" applyAlignment="1" applyProtection="1">
      <alignment horizontal="center" vertical="center"/>
      <protection locked="0"/>
    </xf>
    <xf numFmtId="17" fontId="11" fillId="0" borderId="0" xfId="0" applyNumberFormat="1" applyFont="1" applyProtection="1">
      <protection locked="0"/>
    </xf>
    <xf numFmtId="0" fontId="10" fillId="0" borderId="0" xfId="2" applyFont="1" applyBorder="1" applyAlignment="1" applyProtection="1">
      <alignment vertical="center"/>
      <protection locked="0"/>
    </xf>
    <xf numFmtId="0" fontId="11" fillId="0" borderId="7" xfId="0" applyFont="1" applyBorder="1" applyProtection="1">
      <protection locked="0"/>
    </xf>
    <xf numFmtId="0" fontId="1" fillId="0" borderId="8" xfId="0" applyFont="1" applyBorder="1" applyProtection="1">
      <protection locked="0"/>
    </xf>
    <xf numFmtId="0" fontId="1" fillId="0" borderId="9" xfId="0" applyFont="1" applyBorder="1" applyProtection="1">
      <protection locked="0"/>
    </xf>
    <xf numFmtId="0" fontId="7" fillId="0" borderId="44" xfId="2" applyBorder="1" applyAlignment="1" applyProtection="1">
      <alignment vertical="center"/>
      <protection locked="0"/>
    </xf>
    <xf numFmtId="0" fontId="7" fillId="0" borderId="45" xfId="2" applyBorder="1" applyAlignment="1" applyProtection="1">
      <alignment vertical="center"/>
      <protection locked="0"/>
    </xf>
    <xf numFmtId="0" fontId="7" fillId="0" borderId="46" xfId="2" applyBorder="1" applyAlignment="1" applyProtection="1">
      <alignment vertic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1" fontId="16" fillId="0" borderId="1" xfId="0" applyNumberFormat="1" applyFont="1" applyBorder="1" applyAlignment="1" applyProtection="1">
      <alignment horizontal="center" vertical="center"/>
      <protection locked="0"/>
    </xf>
    <xf numFmtId="1" fontId="11" fillId="0" borderId="1" xfId="0" applyNumberFormat="1" applyFont="1" applyBorder="1" applyAlignment="1" applyProtection="1">
      <alignment horizontal="center" vertical="center"/>
      <protection locked="0"/>
    </xf>
    <xf numFmtId="1" fontId="11" fillId="0" borderId="2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Border="1" applyAlignment="1" applyProtection="1">
      <alignment horizontal="center" vertical="center"/>
      <protection locked="0"/>
    </xf>
    <xf numFmtId="0" fontId="7" fillId="0" borderId="0" xfId="2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0" fontId="11" fillId="0" borderId="1" xfId="0" applyFont="1" applyBorder="1" applyProtection="1">
      <protection locked="0"/>
    </xf>
    <xf numFmtId="165" fontId="11" fillId="0" borderId="0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49" fontId="13" fillId="0" borderId="1" xfId="0" applyNumberFormat="1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Protection="1"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3" xfId="0" applyFont="1" applyBorder="1" applyAlignment="1" applyProtection="1">
      <alignment horizontal="center"/>
      <protection locked="0"/>
    </xf>
    <xf numFmtId="166" fontId="16" fillId="0" borderId="1" xfId="0" quotePrefix="1" applyNumberFormat="1" applyFont="1" applyBorder="1" applyAlignment="1" applyProtection="1">
      <alignment horizontal="center" vertical="center"/>
      <protection locked="0"/>
    </xf>
    <xf numFmtId="166" fontId="11" fillId="0" borderId="2" xfId="0" applyNumberFormat="1" applyFont="1" applyBorder="1" applyAlignment="1" applyProtection="1">
      <alignment horizontal="center" vertical="center"/>
      <protection locked="0"/>
    </xf>
    <xf numFmtId="2" fontId="11" fillId="0" borderId="1" xfId="0" applyNumberFormat="1" applyFont="1" applyBorder="1" applyAlignment="1" applyProtection="1">
      <alignment horizontal="center" vertical="center"/>
      <protection locked="0"/>
    </xf>
    <xf numFmtId="165" fontId="11" fillId="0" borderId="2" xfId="0" applyNumberFormat="1" applyFont="1" applyBorder="1" applyAlignment="1" applyProtection="1">
      <alignment horizontal="center" vertical="center"/>
      <protection locked="0"/>
    </xf>
    <xf numFmtId="166" fontId="16" fillId="0" borderId="5" xfId="0" applyNumberFormat="1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10" xfId="0" applyFont="1" applyBorder="1" applyAlignment="1" applyProtection="1">
      <alignment vertical="center"/>
      <protection locked="0"/>
    </xf>
    <xf numFmtId="164" fontId="11" fillId="0" borderId="0" xfId="0" applyNumberFormat="1" applyFont="1" applyBorder="1" applyAlignment="1" applyProtection="1">
      <alignment horizont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4" fillId="0" borderId="0" xfId="0" applyFont="1" applyBorder="1" applyAlignment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166" fontId="11" fillId="0" borderId="0" xfId="0" applyNumberFormat="1" applyFont="1" applyBorder="1" applyProtection="1">
      <protection locked="0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1" fontId="11" fillId="0" borderId="0" xfId="0" applyNumberFormat="1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164" fontId="11" fillId="0" borderId="0" xfId="0" applyNumberFormat="1" applyFont="1" applyBorder="1" applyAlignment="1" applyProtection="1">
      <alignment horizontal="center" vertical="center"/>
      <protection locked="0"/>
    </xf>
    <xf numFmtId="166" fontId="11" fillId="0" borderId="0" xfId="0" applyNumberFormat="1" applyFont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protection locked="0"/>
    </xf>
    <xf numFmtId="0" fontId="10" fillId="0" borderId="0" xfId="2" applyFont="1" applyBorder="1" applyProtection="1"/>
    <xf numFmtId="0" fontId="10" fillId="0" borderId="0" xfId="2" applyFont="1" applyProtection="1"/>
    <xf numFmtId="0" fontId="11" fillId="0" borderId="1" xfId="0" applyFont="1" applyBorder="1" applyAlignment="1" applyProtection="1">
      <alignment horizontal="center" vertical="center"/>
    </xf>
    <xf numFmtId="49" fontId="11" fillId="0" borderId="1" xfId="0" applyNumberFormat="1" applyFont="1" applyBorder="1" applyAlignment="1" applyProtection="1">
      <alignment horizontal="center" vertical="center"/>
    </xf>
    <xf numFmtId="0" fontId="11" fillId="0" borderId="1" xfId="0" applyFont="1" applyFill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11" fillId="0" borderId="1" xfId="0" applyFont="1" applyBorder="1" applyAlignment="1" applyProtection="1">
      <alignment horizontal="center" vertical="center" wrapText="1"/>
    </xf>
    <xf numFmtId="0" fontId="11" fillId="0" borderId="1" xfId="0" applyFont="1" applyBorder="1" applyProtection="1"/>
    <xf numFmtId="0" fontId="14" fillId="0" borderId="7" xfId="0" applyFont="1" applyBorder="1" applyAlignment="1" applyProtection="1">
      <alignment horizontal="center" vertical="center"/>
      <protection locked="0"/>
    </xf>
    <xf numFmtId="0" fontId="11" fillId="0" borderId="25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Fill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0" fontId="14" fillId="0" borderId="1" xfId="0" applyFont="1" applyBorder="1" applyProtection="1">
      <protection locked="0"/>
    </xf>
    <xf numFmtId="0" fontId="14" fillId="0" borderId="2" xfId="0" applyFont="1" applyBorder="1" applyProtection="1">
      <protection locked="0"/>
    </xf>
    <xf numFmtId="0" fontId="11" fillId="0" borderId="41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center" vertical="center"/>
      <protection locked="0"/>
    </xf>
    <xf numFmtId="0" fontId="14" fillId="0" borderId="5" xfId="0" applyFont="1" applyFill="1" applyBorder="1" applyAlignment="1" applyProtection="1">
      <alignment horizontal="center" vertical="center"/>
      <protection locked="0"/>
    </xf>
    <xf numFmtId="0" fontId="14" fillId="0" borderId="5" xfId="0" applyFont="1" applyFill="1" applyBorder="1" applyAlignment="1" applyProtection="1">
      <alignment horizontal="center"/>
      <protection locked="0"/>
    </xf>
    <xf numFmtId="0" fontId="25" fillId="0" borderId="5" xfId="0" applyFont="1" applyBorder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/>
      <protection locked="0"/>
    </xf>
    <xf numFmtId="1" fontId="16" fillId="0" borderId="8" xfId="0" applyNumberFormat="1" applyFont="1" applyBorder="1" applyAlignment="1" applyProtection="1">
      <alignment horizontal="center" vertical="center"/>
      <protection locked="0"/>
    </xf>
    <xf numFmtId="0" fontId="14" fillId="0" borderId="14" xfId="0" applyFont="1" applyBorder="1" applyAlignment="1" applyProtection="1">
      <alignment horizontal="center" vertical="center"/>
      <protection locked="0"/>
    </xf>
    <xf numFmtId="166" fontId="16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/>
      <protection locked="0"/>
    </xf>
    <xf numFmtId="2" fontId="16" fillId="0" borderId="11" xfId="0" applyNumberFormat="1" applyFont="1" applyBorder="1" applyAlignment="1" applyProtection="1">
      <alignment horizontal="center" vertical="center"/>
      <protection locked="0"/>
    </xf>
    <xf numFmtId="2" fontId="16" fillId="0" borderId="1" xfId="0" applyNumberFormat="1" applyFont="1" applyBorder="1" applyAlignment="1" applyProtection="1">
      <alignment horizontal="center" vertical="center"/>
      <protection locked="0"/>
    </xf>
    <xf numFmtId="2" fontId="16" fillId="0" borderId="2" xfId="0" applyNumberFormat="1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166" fontId="16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5" xfId="0" applyFont="1" applyBorder="1" applyAlignment="1" applyProtection="1">
      <alignment horizontal="center" vertical="center"/>
      <protection locked="0"/>
    </xf>
    <xf numFmtId="166" fontId="16" fillId="0" borderId="6" xfId="0" applyNumberFormat="1" applyFont="1" applyBorder="1" applyAlignment="1" applyProtection="1">
      <alignment horizontal="center" vertical="center"/>
      <protection locked="0"/>
    </xf>
    <xf numFmtId="0" fontId="6" fillId="0" borderId="0" xfId="1" applyProtection="1">
      <protection locked="0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0" fillId="0" borderId="28" xfId="0" applyNumberFormat="1" applyBorder="1" applyAlignment="1">
      <alignment horizontal="center" vertical="center"/>
    </xf>
    <xf numFmtId="2" fontId="16" fillId="0" borderId="28" xfId="0" applyNumberFormat="1" applyFont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166" fontId="0" fillId="0" borderId="28" xfId="0" applyNumberFormat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167" fontId="0" fillId="0" borderId="28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66" fontId="0" fillId="0" borderId="27" xfId="0" applyNumberForma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49" fontId="0" fillId="0" borderId="30" xfId="0" applyNumberFormat="1" applyBorder="1" applyAlignment="1">
      <alignment horizontal="center" vertical="center"/>
    </xf>
    <xf numFmtId="2" fontId="16" fillId="0" borderId="30" xfId="0" applyNumberFormat="1" applyFon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0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167" fontId="0" fillId="0" borderId="30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6" fontId="0" fillId="0" borderId="26" xfId="0" applyNumberFormat="1" applyBorder="1" applyAlignment="1">
      <alignment horizontal="center" vertical="center"/>
    </xf>
    <xf numFmtId="1" fontId="0" fillId="0" borderId="30" xfId="0" applyNumberForma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49" fontId="0" fillId="0" borderId="37" xfId="0" applyNumberFormat="1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37" xfId="0" applyNumberFormat="1" applyBorder="1" applyAlignment="1">
      <alignment horizontal="center" vertical="center"/>
    </xf>
    <xf numFmtId="167" fontId="0" fillId="0" borderId="37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66" fontId="0" fillId="0" borderId="39" xfId="0" applyNumberFormat="1" applyBorder="1" applyAlignment="1">
      <alignment horizontal="center" vertical="center"/>
    </xf>
    <xf numFmtId="1" fontId="0" fillId="0" borderId="37" xfId="0" applyNumberFormat="1" applyFill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1" fontId="0" fillId="0" borderId="28" xfId="0" applyNumberFormat="1" applyFill="1" applyBorder="1" applyAlignment="1">
      <alignment horizontal="center" vertical="center"/>
    </xf>
    <xf numFmtId="167" fontId="0" fillId="0" borderId="24" xfId="0" applyNumberFormat="1" applyFill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67" fontId="13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3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1" fontId="1" fillId="0" borderId="1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14" fontId="1" fillId="0" borderId="10" xfId="0" applyNumberFormat="1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165" fontId="1" fillId="0" borderId="10" xfId="0" applyNumberFormat="1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/>
    </xf>
    <xf numFmtId="49" fontId="1" fillId="0" borderId="5" xfId="0" applyNumberFormat="1" applyFont="1" applyBorder="1" applyAlignment="1">
      <alignment horizontal="center" vertical="center"/>
    </xf>
    <xf numFmtId="0" fontId="1" fillId="0" borderId="6" xfId="0" applyFont="1" applyBorder="1"/>
    <xf numFmtId="0" fontId="1" fillId="0" borderId="29" xfId="0" applyFont="1" applyBorder="1" applyAlignment="1">
      <alignment horizontal="center" vertical="center"/>
    </xf>
    <xf numFmtId="0" fontId="1" fillId="0" borderId="29" xfId="0" applyFont="1" applyBorder="1"/>
    <xf numFmtId="0" fontId="2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49" fontId="13" fillId="0" borderId="11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/>
    </xf>
    <xf numFmtId="0" fontId="1" fillId="0" borderId="31" xfId="0" applyFont="1" applyBorder="1" applyAlignment="1">
      <alignment horizontal="center" vertical="center"/>
    </xf>
    <xf numFmtId="0" fontId="1" fillId="0" borderId="31" xfId="0" applyFont="1" applyBorder="1"/>
    <xf numFmtId="49" fontId="1" fillId="0" borderId="0" xfId="0" applyNumberFormat="1" applyFont="1" applyBorder="1" applyAlignment="1">
      <alignment horizontal="center" vertical="center"/>
    </xf>
    <xf numFmtId="165" fontId="1" fillId="0" borderId="0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35" xfId="0" applyFont="1" applyBorder="1" applyAlignment="1">
      <alignment horizontal="center" vertical="center"/>
    </xf>
    <xf numFmtId="0" fontId="1" fillId="0" borderId="35" xfId="0" applyFont="1" applyBorder="1"/>
    <xf numFmtId="0" fontId="1" fillId="0" borderId="26" xfId="0" applyFont="1" applyBorder="1"/>
    <xf numFmtId="0" fontId="1" fillId="0" borderId="36" xfId="0" applyFont="1" applyBorder="1"/>
    <xf numFmtId="0" fontId="1" fillId="0" borderId="38" xfId="0" applyFont="1" applyBorder="1"/>
    <xf numFmtId="0" fontId="1" fillId="0" borderId="39" xfId="0" applyFont="1" applyBorder="1"/>
    <xf numFmtId="2" fontId="1" fillId="0" borderId="1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center" wrapText="1"/>
    </xf>
    <xf numFmtId="0" fontId="1" fillId="0" borderId="6" xfId="0" applyFont="1" applyBorder="1" applyAlignment="1">
      <alignment horizont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7" fillId="0" borderId="44" xfId="2" applyBorder="1" applyAlignment="1">
      <alignment vertical="center"/>
    </xf>
    <xf numFmtId="0" fontId="7" fillId="0" borderId="45" xfId="2" applyBorder="1" applyAlignment="1">
      <alignment vertical="center"/>
    </xf>
    <xf numFmtId="0" fontId="7" fillId="0" borderId="46" xfId="2" applyBorder="1" applyAlignment="1">
      <alignment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166" fontId="11" fillId="0" borderId="1" xfId="0" applyNumberFormat="1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4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 vertical="center"/>
    </xf>
    <xf numFmtId="166" fontId="1" fillId="0" borderId="0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7" fillId="0" borderId="0" xfId="2" applyBorder="1" applyAlignment="1">
      <alignment vertical="center"/>
    </xf>
    <xf numFmtId="0" fontId="1" fillId="0" borderId="0" xfId="0" applyFont="1" applyBorder="1" applyAlignment="1">
      <alignment vertical="center" wrapText="1"/>
    </xf>
    <xf numFmtId="166" fontId="1" fillId="0" borderId="0" xfId="0" applyNumberFormat="1" applyFont="1" applyBorder="1" applyAlignment="1">
      <alignment vertical="center"/>
    </xf>
    <xf numFmtId="0" fontId="1" fillId="0" borderId="0" xfId="0" applyFont="1" applyBorder="1" applyAlignment="1"/>
    <xf numFmtId="0" fontId="1" fillId="0" borderId="25" xfId="0" applyFont="1" applyBorder="1" applyAlignment="1" applyProtection="1">
      <alignment horizontal="center" vertical="center"/>
      <protection locked="0"/>
    </xf>
    <xf numFmtId="0" fontId="14" fillId="0" borderId="8" xfId="0" applyFont="1" applyFill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0" fontId="14" fillId="0" borderId="2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 wrapText="1"/>
      <protection locked="0"/>
    </xf>
    <xf numFmtId="166" fontId="16" fillId="0" borderId="8" xfId="0" applyNumberFormat="1" applyFont="1" applyBorder="1" applyAlignment="1" applyProtection="1">
      <alignment horizontal="center" vertical="center"/>
      <protection locked="0"/>
    </xf>
    <xf numFmtId="2" fontId="16" fillId="0" borderId="8" xfId="0" applyNumberFormat="1" applyFont="1" applyBorder="1" applyAlignment="1" applyProtection="1">
      <alignment horizontal="center" vertical="center"/>
      <protection locked="0"/>
    </xf>
    <xf numFmtId="166" fontId="16" fillId="0" borderId="9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41" xfId="0" applyFont="1" applyBorder="1" applyAlignment="1" applyProtection="1">
      <alignment horizontal="center" vertical="center" wrapText="1"/>
      <protection locked="0"/>
    </xf>
    <xf numFmtId="2" fontId="16" fillId="0" borderId="5" xfId="0" applyNumberFormat="1" applyFont="1" applyBorder="1" applyAlignment="1" applyProtection="1">
      <alignment horizontal="center" vertical="center"/>
      <protection locked="0"/>
    </xf>
    <xf numFmtId="1" fontId="16" fillId="0" borderId="5" xfId="0" applyNumberFormat="1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 wrapText="1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1" fontId="16" fillId="0" borderId="11" xfId="0" applyNumberFormat="1" applyFont="1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 vertical="center" wrapText="1"/>
      <protection locked="0"/>
    </xf>
    <xf numFmtId="2" fontId="16" fillId="0" borderId="10" xfId="0" applyNumberFormat="1" applyFont="1" applyBorder="1" applyAlignment="1" applyProtection="1">
      <alignment horizontal="center" vertical="center"/>
      <protection locked="0"/>
    </xf>
    <xf numFmtId="1" fontId="16" fillId="0" borderId="10" xfId="0" applyNumberFormat="1" applyFont="1" applyBorder="1" applyAlignment="1" applyProtection="1">
      <alignment horizontal="center" vertical="center"/>
      <protection locked="0"/>
    </xf>
    <xf numFmtId="166" fontId="16" fillId="0" borderId="17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/>
    </xf>
    <xf numFmtId="0" fontId="14" fillId="0" borderId="10" xfId="0" applyFont="1" applyFill="1" applyBorder="1" applyAlignment="1" applyProtection="1">
      <alignment horizontal="center" vertical="center"/>
      <protection locked="0"/>
    </xf>
    <xf numFmtId="0" fontId="25" fillId="0" borderId="10" xfId="0" applyFont="1" applyBorder="1" applyAlignment="1" applyProtection="1">
      <alignment horizontal="center" vertical="center"/>
      <protection locked="0"/>
    </xf>
    <xf numFmtId="0" fontId="14" fillId="0" borderId="17" xfId="0" applyFont="1" applyBorder="1" applyAlignment="1" applyProtection="1">
      <alignment horizontal="center" vertical="center"/>
      <protection locked="0"/>
    </xf>
    <xf numFmtId="0" fontId="1" fillId="0" borderId="49" xfId="0" applyFont="1" applyBorder="1" applyAlignment="1" applyProtection="1">
      <alignment horizontal="center" vertical="center" wrapText="1"/>
      <protection locked="0"/>
    </xf>
    <xf numFmtId="16" fontId="14" fillId="0" borderId="8" xfId="0" applyNumberFormat="1" applyFont="1" applyBorder="1" applyAlignment="1" applyProtection="1">
      <alignment horizontal="center" vertical="center"/>
      <protection locked="0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67" fontId="0" fillId="0" borderId="50" xfId="0" applyNumberFormat="1" applyBorder="1" applyAlignment="1">
      <alignment horizontal="center" vertical="center"/>
    </xf>
    <xf numFmtId="49" fontId="0" fillId="0" borderId="50" xfId="0" applyNumberFormat="1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20" xfId="0" applyNumberForma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66" fontId="0" fillId="0" borderId="52" xfId="0" applyNumberFormat="1" applyBorder="1" applyAlignment="1">
      <alignment horizontal="center" vertical="center"/>
    </xf>
    <xf numFmtId="1" fontId="0" fillId="0" borderId="50" xfId="0" applyNumberFormat="1" applyFill="1" applyBorder="1" applyAlignment="1">
      <alignment horizontal="center" vertical="center"/>
    </xf>
    <xf numFmtId="167" fontId="0" fillId="0" borderId="8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7" fontId="0" fillId="0" borderId="5" xfId="0" applyNumberFormat="1" applyBorder="1" applyAlignment="1">
      <alignment horizontal="center" vertical="center"/>
    </xf>
    <xf numFmtId="167" fontId="0" fillId="0" borderId="11" xfId="0" applyNumberFormat="1" applyBorder="1" applyAlignment="1">
      <alignment horizontal="center" vertical="center"/>
    </xf>
    <xf numFmtId="0" fontId="35" fillId="0" borderId="0" xfId="0" applyFont="1"/>
    <xf numFmtId="11" fontId="11" fillId="0" borderId="1" xfId="0" applyNumberFormat="1" applyFont="1" applyBorder="1" applyAlignment="1" applyProtection="1">
      <alignment horizontal="center"/>
      <protection locked="0"/>
    </xf>
    <xf numFmtId="0" fontId="14" fillId="0" borderId="34" xfId="0" applyFont="1" applyBorder="1" applyAlignment="1">
      <alignment horizontal="center" vertical="center"/>
    </xf>
    <xf numFmtId="0" fontId="14" fillId="0" borderId="35" xfId="0" applyFont="1" applyBorder="1" applyAlignment="1">
      <alignment horizontal="center" vertical="center"/>
    </xf>
    <xf numFmtId="0" fontId="14" fillId="0" borderId="36" xfId="0" applyFont="1" applyBorder="1" applyAlignment="1">
      <alignment horizontal="center" vertical="center"/>
    </xf>
    <xf numFmtId="0" fontId="14" fillId="0" borderId="7" xfId="0" applyFont="1" applyBorder="1" applyAlignment="1" applyProtection="1">
      <alignment horizontal="center"/>
    </xf>
    <xf numFmtId="0" fontId="14" fillId="0" borderId="8" xfId="0" applyFont="1" applyBorder="1" applyAlignment="1" applyProtection="1">
      <alignment horizontal="center"/>
    </xf>
    <xf numFmtId="0" fontId="14" fillId="0" borderId="9" xfId="0" applyFont="1" applyBorder="1" applyAlignment="1" applyProtection="1">
      <alignment horizontal="center"/>
    </xf>
    <xf numFmtId="0" fontId="14" fillId="0" borderId="3" xfId="0" applyFont="1" applyBorder="1" applyAlignment="1" applyProtection="1">
      <alignment horizontal="center"/>
    </xf>
    <xf numFmtId="0" fontId="14" fillId="0" borderId="1" xfId="0" applyFont="1" applyBorder="1" applyAlignment="1" applyProtection="1">
      <alignment horizontal="center"/>
    </xf>
    <xf numFmtId="0" fontId="14" fillId="0" borderId="2" xfId="0" applyFont="1" applyBorder="1" applyAlignment="1" applyProtection="1">
      <alignment horizontal="center"/>
    </xf>
    <xf numFmtId="0" fontId="14" fillId="0" borderId="40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2" fontId="21" fillId="3" borderId="1" xfId="3" applyNumberFormat="1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left" vertical="center"/>
    </xf>
    <xf numFmtId="0" fontId="11" fillId="0" borderId="7" xfId="0" applyFont="1" applyBorder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center" vertical="center" wrapText="1"/>
      <protection locked="0"/>
    </xf>
    <xf numFmtId="17" fontId="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 wrapText="1"/>
      <protection locked="0"/>
    </xf>
    <xf numFmtId="0" fontId="11" fillId="0" borderId="2" xfId="0" applyFont="1" applyBorder="1" applyAlignment="1" applyProtection="1">
      <alignment horizontal="center" vertical="center" wrapText="1"/>
      <protection locked="0"/>
    </xf>
    <xf numFmtId="166" fontId="11" fillId="0" borderId="1" xfId="0" applyNumberFormat="1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7" fillId="0" borderId="44" xfId="2" applyBorder="1" applyAlignment="1" applyProtection="1">
      <alignment horizontal="center"/>
      <protection locked="0"/>
    </xf>
    <xf numFmtId="0" fontId="7" fillId="0" borderId="45" xfId="2" applyBorder="1" applyAlignment="1" applyProtection="1">
      <alignment horizontal="center"/>
      <protection locked="0"/>
    </xf>
    <xf numFmtId="0" fontId="7" fillId="0" borderId="46" xfId="2" applyBorder="1" applyAlignment="1" applyProtection="1">
      <alignment horizontal="center"/>
      <protection locked="0"/>
    </xf>
    <xf numFmtId="0" fontId="11" fillId="0" borderId="10" xfId="0" applyFont="1" applyBorder="1" applyAlignment="1" applyProtection="1">
      <alignment horizontal="center" vertical="center" wrapText="1"/>
      <protection locked="0"/>
    </xf>
    <xf numFmtId="0" fontId="11" fillId="0" borderId="12" xfId="0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1" fillId="0" borderId="4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/>
      <protection locked="0"/>
    </xf>
    <xf numFmtId="0" fontId="14" fillId="0" borderId="7" xfId="0" applyFont="1" applyBorder="1" applyAlignment="1" applyProtection="1">
      <alignment horizontal="center" vertical="center"/>
      <protection locked="0"/>
    </xf>
    <xf numFmtId="0" fontId="14" fillId="0" borderId="3" xfId="0" applyFont="1" applyBorder="1" applyAlignment="1" applyProtection="1">
      <alignment horizontal="center" vertical="center"/>
      <protection locked="0"/>
    </xf>
    <xf numFmtId="0" fontId="14" fillId="0" borderId="4" xfId="0" applyFont="1" applyBorder="1" applyAlignment="1" applyProtection="1">
      <alignment horizontal="center" vertical="center"/>
      <protection locked="0"/>
    </xf>
    <xf numFmtId="0" fontId="11" fillId="0" borderId="25" xfId="0" applyFont="1" applyBorder="1" applyAlignment="1" applyProtection="1">
      <alignment horizontal="center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0" fontId="11" fillId="0" borderId="41" xfId="0" applyFont="1" applyBorder="1" applyAlignment="1" applyProtection="1">
      <alignment horizontal="center"/>
      <protection locked="0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66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27" fillId="0" borderId="45" xfId="0" applyFont="1" applyBorder="1" applyAlignment="1">
      <alignment horizontal="center"/>
    </xf>
    <xf numFmtId="0" fontId="7" fillId="0" borderId="44" xfId="2" applyBorder="1" applyAlignment="1">
      <alignment horizontal="center"/>
    </xf>
    <xf numFmtId="0" fontId="7" fillId="0" borderId="45" xfId="2" applyBorder="1" applyAlignment="1">
      <alignment horizontal="center"/>
    </xf>
    <xf numFmtId="0" fontId="7" fillId="0" borderId="46" xfId="2" applyBorder="1" applyAlignment="1">
      <alignment horizontal="center"/>
    </xf>
    <xf numFmtId="0" fontId="7" fillId="0" borderId="43" xfId="2" applyBorder="1" applyAlignment="1">
      <alignment horizontal="center"/>
    </xf>
    <xf numFmtId="0" fontId="7" fillId="0" borderId="47" xfId="2" applyBorder="1" applyAlignment="1">
      <alignment horizontal="center"/>
    </xf>
    <xf numFmtId="0" fontId="7" fillId="0" borderId="48" xfId="2" applyBorder="1" applyAlignment="1">
      <alignment horizontal="center"/>
    </xf>
    <xf numFmtId="0" fontId="7" fillId="0" borderId="44" xfId="2" applyBorder="1" applyAlignment="1">
      <alignment horizontal="center" vertical="center"/>
    </xf>
    <xf numFmtId="0" fontId="7" fillId="0" borderId="45" xfId="2" applyBorder="1" applyAlignment="1">
      <alignment horizontal="center" vertical="center"/>
    </xf>
    <xf numFmtId="0" fontId="7" fillId="0" borderId="46" xfId="2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34" fillId="0" borderId="0" xfId="1" applyFont="1" applyBorder="1" applyAlignment="1">
      <alignment horizontal="center" vertical="center"/>
    </xf>
    <xf numFmtId="0" fontId="14" fillId="0" borderId="16" xfId="0" applyFont="1" applyBorder="1" applyAlignment="1" applyProtection="1">
      <alignment horizontal="center" vertical="center"/>
      <protection locked="0"/>
    </xf>
    <xf numFmtId="0" fontId="1" fillId="0" borderId="25" xfId="0" applyFont="1" applyBorder="1" applyAlignment="1" applyProtection="1">
      <alignment horizontal="center" vertical="center"/>
      <protection locked="0"/>
    </xf>
    <xf numFmtId="0" fontId="14" fillId="0" borderId="8" xfId="0" applyFont="1" applyBorder="1" applyAlignment="1" applyProtection="1">
      <alignment horizontal="center" vertical="center"/>
      <protection locked="0"/>
    </xf>
    <xf numFmtId="0" fontId="14" fillId="0" borderId="9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</cellXfs>
  <cellStyles count="4">
    <cellStyle name="Accent5" xfId="3" builtinId="45"/>
    <cellStyle name="Heading 4" xfId="2" builtinId="19"/>
    <cellStyle name="Normal" xfId="0" builtinId="0"/>
    <cellStyle name="Title" xfId="1" builtinId="15"/>
  </cellStyles>
  <dxfs count="7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BIỂU</a:t>
            </a:r>
            <a:r>
              <a:rPr lang="en-US" sz="1600" baseline="0"/>
              <a:t> ĐỒ THÍ NGHIỆM CẮT </a:t>
            </a:r>
            <a:endParaRPr lang="vi-VN" sz="16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1"/>
            <c:trendlineLbl>
              <c:numFmt formatCode="General" sourceLinked="0"/>
            </c:trendlineLbl>
          </c:trendline>
          <c:xVal>
            <c:numRef>
              <c:f>Thongke2!$J$8:$J$31</c:f>
              <c:numCache>
                <c:formatCode>0.0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1</c:v>
                </c:pt>
                <c:pt idx="19">
                  <c:v>2</c:v>
                </c:pt>
                <c:pt idx="20">
                  <c:v>3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</c:numCache>
            </c:numRef>
          </c:xVal>
          <c:yVal>
            <c:numRef>
              <c:f>Thongke2!$K$8:$K$31</c:f>
              <c:numCache>
                <c:formatCode>General</c:formatCode>
                <c:ptCount val="24"/>
                <c:pt idx="0">
                  <c:v>0.48399999999999999</c:v>
                </c:pt>
                <c:pt idx="1">
                  <c:v>0.93899999999999995</c:v>
                </c:pt>
                <c:pt idx="2">
                  <c:v>1.395</c:v>
                </c:pt>
                <c:pt idx="3">
                  <c:v>0.49</c:v>
                </c:pt>
                <c:pt idx="4">
                  <c:v>0.95699999999999996</c:v>
                </c:pt>
                <c:pt idx="5">
                  <c:v>1.423</c:v>
                </c:pt>
                <c:pt idx="6">
                  <c:v>0.51500000000000001</c:v>
                </c:pt>
                <c:pt idx="7">
                  <c:v>1.002</c:v>
                </c:pt>
                <c:pt idx="8">
                  <c:v>1.49</c:v>
                </c:pt>
                <c:pt idx="9">
                  <c:v>0.501</c:v>
                </c:pt>
                <c:pt idx="10">
                  <c:v>0.97799999999999998</c:v>
                </c:pt>
                <c:pt idx="11">
                  <c:v>1.4550000000000001</c:v>
                </c:pt>
                <c:pt idx="12">
                  <c:v>0.51500000000000001</c:v>
                </c:pt>
                <c:pt idx="13">
                  <c:v>1.002</c:v>
                </c:pt>
                <c:pt idx="14">
                  <c:v>1.49</c:v>
                </c:pt>
                <c:pt idx="15">
                  <c:v>0.53</c:v>
                </c:pt>
                <c:pt idx="16">
                  <c:v>1.034</c:v>
                </c:pt>
                <c:pt idx="17">
                  <c:v>1.538</c:v>
                </c:pt>
                <c:pt idx="18">
                  <c:v>0.55000000000000004</c:v>
                </c:pt>
                <c:pt idx="19">
                  <c:v>1.07</c:v>
                </c:pt>
                <c:pt idx="20">
                  <c:v>1.591</c:v>
                </c:pt>
                <c:pt idx="21">
                  <c:v>0.55300000000000005</c:v>
                </c:pt>
                <c:pt idx="22">
                  <c:v>1.079</c:v>
                </c:pt>
                <c:pt idx="23">
                  <c:v>1.605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89440"/>
        <c:axId val="121191744"/>
      </c:scatterChart>
      <c:valAx>
        <c:axId val="1211894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Ứng</a:t>
                </a:r>
                <a:r>
                  <a:rPr lang="en-US" baseline="0"/>
                  <a:t> suất pháp</a:t>
                </a:r>
                <a:endParaRPr lang="vi-VN"/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121191744"/>
        <c:crosses val="autoZero"/>
        <c:crossBetween val="midCat"/>
      </c:valAx>
      <c:valAx>
        <c:axId val="121191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Ứng</a:t>
                </a:r>
                <a:r>
                  <a:rPr lang="en-US" baseline="0"/>
                  <a:t> suất tiếp</a:t>
                </a:r>
                <a:endParaRPr lang="vi-VN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118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vi-V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600"/>
              <a:t>BIỂU</a:t>
            </a:r>
            <a:r>
              <a:rPr lang="en-US" sz="1600" baseline="0"/>
              <a:t> ĐỒ THÍ NGHIỆM CẮT </a:t>
            </a:r>
            <a:endParaRPr lang="vi-VN" sz="16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Thongke2!$J$8:$J$31</c:f>
              <c:numCache>
                <c:formatCode>0.0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1</c:v>
                </c:pt>
                <c:pt idx="19">
                  <c:v>2</c:v>
                </c:pt>
                <c:pt idx="20">
                  <c:v>3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</c:numCache>
            </c:numRef>
          </c:xVal>
          <c:yVal>
            <c:numRef>
              <c:f>Thongke2!$K$8:$K$31</c:f>
              <c:numCache>
                <c:formatCode>General</c:formatCode>
                <c:ptCount val="24"/>
                <c:pt idx="0">
                  <c:v>0.48399999999999999</c:v>
                </c:pt>
                <c:pt idx="1">
                  <c:v>0.93899999999999995</c:v>
                </c:pt>
                <c:pt idx="2">
                  <c:v>1.395</c:v>
                </c:pt>
                <c:pt idx="3">
                  <c:v>0.49</c:v>
                </c:pt>
                <c:pt idx="4">
                  <c:v>0.95699999999999996</c:v>
                </c:pt>
                <c:pt idx="5">
                  <c:v>1.423</c:v>
                </c:pt>
                <c:pt idx="6">
                  <c:v>0.51500000000000001</c:v>
                </c:pt>
                <c:pt idx="7">
                  <c:v>1.002</c:v>
                </c:pt>
                <c:pt idx="8">
                  <c:v>1.49</c:v>
                </c:pt>
                <c:pt idx="9">
                  <c:v>0.501</c:v>
                </c:pt>
                <c:pt idx="10">
                  <c:v>0.97799999999999998</c:v>
                </c:pt>
                <c:pt idx="11">
                  <c:v>1.4550000000000001</c:v>
                </c:pt>
                <c:pt idx="12">
                  <c:v>0.51500000000000001</c:v>
                </c:pt>
                <c:pt idx="13">
                  <c:v>1.002</c:v>
                </c:pt>
                <c:pt idx="14">
                  <c:v>1.49</c:v>
                </c:pt>
                <c:pt idx="15">
                  <c:v>0.53</c:v>
                </c:pt>
                <c:pt idx="16">
                  <c:v>1.034</c:v>
                </c:pt>
                <c:pt idx="17">
                  <c:v>1.538</c:v>
                </c:pt>
                <c:pt idx="18">
                  <c:v>0.55000000000000004</c:v>
                </c:pt>
                <c:pt idx="19">
                  <c:v>1.07</c:v>
                </c:pt>
                <c:pt idx="20">
                  <c:v>1.591</c:v>
                </c:pt>
                <c:pt idx="21">
                  <c:v>0.55300000000000005</c:v>
                </c:pt>
                <c:pt idx="22">
                  <c:v>1.079</c:v>
                </c:pt>
                <c:pt idx="23">
                  <c:v>1.605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23552"/>
        <c:axId val="121424128"/>
      </c:scatterChart>
      <c:valAx>
        <c:axId val="1214235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Ứng</a:t>
                </a:r>
                <a:r>
                  <a:rPr lang="en-US" baseline="0"/>
                  <a:t> suất pháp</a:t>
                </a:r>
                <a:endParaRPr lang="vi-VN"/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121424128"/>
        <c:crosses val="autoZero"/>
        <c:crossBetween val="midCat"/>
      </c:valAx>
      <c:valAx>
        <c:axId val="121424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Ứng</a:t>
                </a:r>
                <a:r>
                  <a:rPr lang="en-US" baseline="0"/>
                  <a:t> suất tiếp</a:t>
                </a:r>
                <a:endParaRPr lang="vi-VN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1423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247650</xdr:colOff>
          <xdr:row>0</xdr:row>
          <xdr:rowOff>142875</xdr:rowOff>
        </xdr:from>
        <xdr:to>
          <xdr:col>22</xdr:col>
          <xdr:colOff>533400</xdr:colOff>
          <xdr:row>0</xdr:row>
          <xdr:rowOff>571500</xdr:rowOff>
        </xdr:to>
        <xdr:sp macro="" textlink="">
          <xdr:nvSpPr>
            <xdr:cNvPr id="24578" name="XuatBCButton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5</xdr:row>
          <xdr:rowOff>19050</xdr:rowOff>
        </xdr:from>
        <xdr:to>
          <xdr:col>9</xdr:col>
          <xdr:colOff>304800</xdr:colOff>
          <xdr:row>7</xdr:row>
          <xdr:rowOff>19050</xdr:rowOff>
        </xdr:to>
        <xdr:sp macro="" textlink="">
          <xdr:nvSpPr>
            <xdr:cNvPr id="21506" name="ButtonThongke1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15</xdr:row>
      <xdr:rowOff>28575</xdr:rowOff>
    </xdr:from>
    <xdr:to>
      <xdr:col>21</xdr:col>
      <xdr:colOff>301625</xdr:colOff>
      <xdr:row>30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</xdr:row>
          <xdr:rowOff>47625</xdr:rowOff>
        </xdr:from>
        <xdr:to>
          <xdr:col>6</xdr:col>
          <xdr:colOff>266700</xdr:colOff>
          <xdr:row>3</xdr:row>
          <xdr:rowOff>19050</xdr:rowOff>
        </xdr:to>
        <xdr:sp macro="" textlink="">
          <xdr:nvSpPr>
            <xdr:cNvPr id="1034" name="ButtonThongke2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60</xdr:row>
      <xdr:rowOff>0</xdr:rowOff>
    </xdr:from>
    <xdr:to>
      <xdr:col>12</xdr:col>
      <xdr:colOff>539750</xdr:colOff>
      <xdr:row>78</xdr:row>
      <xdr:rowOff>34925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ACKUP/THONGKEDIACHAT_All_KhongProtec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ieu1"/>
      <sheetName val="Solieu2"/>
      <sheetName val="Bangtra"/>
      <sheetName val="Thongke1"/>
      <sheetName val="Thongke2"/>
      <sheetName val="BaocaoTong"/>
      <sheetName val="Baocao1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AQ68"/>
  <sheetViews>
    <sheetView tabSelected="1" zoomScale="75" zoomScaleNormal="75" workbookViewId="0">
      <selection activeCell="B5" sqref="B5:B68"/>
    </sheetView>
  </sheetViews>
  <sheetFormatPr defaultRowHeight="15" x14ac:dyDescent="0.25"/>
  <cols>
    <col min="1" max="1" width="9.5" style="53" bestFit="1" customWidth="1"/>
    <col min="2" max="2" width="7.75" style="54" bestFit="1" customWidth="1"/>
    <col min="3" max="3" width="4" style="53" customWidth="1"/>
    <col min="4" max="4" width="10.875" style="53" bestFit="1" customWidth="1"/>
    <col min="5" max="5" width="7.25" style="42" bestFit="1" customWidth="1"/>
    <col min="6" max="6" width="9" style="53"/>
    <col min="7" max="7" width="9" style="42"/>
    <col min="8" max="8" width="11.125" style="42" bestFit="1" customWidth="1"/>
    <col min="9" max="9" width="7.25" style="42" bestFit="1" customWidth="1"/>
    <col min="10" max="10" width="7.125" style="42" bestFit="1" customWidth="1"/>
    <col min="11" max="12" width="9" style="42"/>
    <col min="13" max="15" width="5.625" style="42" bestFit="1" customWidth="1"/>
    <col min="16" max="16" width="6" style="42" bestFit="1" customWidth="1"/>
    <col min="17" max="18" width="5.125" style="42" bestFit="1" customWidth="1"/>
    <col min="19" max="19" width="4.75" style="42" customWidth="1"/>
    <col min="20" max="20" width="6" style="42" customWidth="1"/>
    <col min="21" max="22" width="6.125" style="42" bestFit="1" customWidth="1"/>
    <col min="23" max="23" width="8.75" style="42" customWidth="1"/>
    <col min="24" max="24" width="9.875" style="42" customWidth="1"/>
    <col min="25" max="25" width="12.375" style="42" customWidth="1"/>
    <col min="26" max="26" width="16.625" style="42" customWidth="1"/>
    <col min="27" max="27" width="5.625" style="42" customWidth="1"/>
    <col min="28" max="28" width="10.875" style="42" bestFit="1" customWidth="1"/>
    <col min="29" max="31" width="9" style="42"/>
    <col min="32" max="32" width="11.125" style="42" bestFit="1" customWidth="1"/>
    <col min="33" max="33" width="14.75" style="42" bestFit="1" customWidth="1"/>
    <col min="34" max="34" width="10.875" style="42" bestFit="1" customWidth="1"/>
    <col min="35" max="16384" width="9" style="42"/>
  </cols>
  <sheetData>
    <row r="1" spans="1:43" ht="52.5" customHeight="1" thickBot="1" x14ac:dyDescent="0.4">
      <c r="A1" s="55" t="s">
        <v>277</v>
      </c>
      <c r="B1" s="56"/>
      <c r="C1" s="57"/>
      <c r="D1" s="58"/>
      <c r="E1" s="57"/>
      <c r="F1" s="57"/>
      <c r="G1" s="59" t="s">
        <v>371</v>
      </c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6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1"/>
    </row>
    <row r="2" spans="1:43" s="45" customFormat="1" x14ac:dyDescent="0.25">
      <c r="A2" s="61" t="s">
        <v>99</v>
      </c>
      <c r="B2" s="61" t="s">
        <v>100</v>
      </c>
      <c r="C2" s="61" t="s">
        <v>0</v>
      </c>
      <c r="D2" s="62" t="s">
        <v>101</v>
      </c>
      <c r="E2" s="63" t="s">
        <v>3</v>
      </c>
      <c r="F2" s="398" t="s">
        <v>102</v>
      </c>
      <c r="G2" s="399"/>
      <c r="H2" s="400"/>
      <c r="I2" s="63" t="s">
        <v>103</v>
      </c>
      <c r="J2" s="63" t="s">
        <v>104</v>
      </c>
      <c r="K2" s="63" t="s">
        <v>36</v>
      </c>
      <c r="L2" s="63" t="s">
        <v>105</v>
      </c>
      <c r="M2" s="398" t="s">
        <v>106</v>
      </c>
      <c r="N2" s="399"/>
      <c r="O2" s="400"/>
      <c r="P2" s="63" t="s">
        <v>107</v>
      </c>
      <c r="Q2" s="398" t="s">
        <v>108</v>
      </c>
      <c r="R2" s="399"/>
      <c r="S2" s="399"/>
      <c r="T2" s="399"/>
      <c r="U2" s="399"/>
      <c r="V2" s="400"/>
      <c r="W2" s="63" t="s">
        <v>109</v>
      </c>
      <c r="X2" s="63" t="s">
        <v>110</v>
      </c>
      <c r="Y2" s="63" t="s">
        <v>111</v>
      </c>
      <c r="Z2" s="63" t="s">
        <v>112</v>
      </c>
      <c r="AA2" s="64" t="s">
        <v>113</v>
      </c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4"/>
    </row>
    <row r="3" spans="1:43" s="45" customFormat="1" x14ac:dyDescent="0.25">
      <c r="A3" s="65"/>
      <c r="B3" s="65"/>
      <c r="C3" s="65"/>
      <c r="D3" s="66"/>
      <c r="E3" s="67" t="s">
        <v>97</v>
      </c>
      <c r="F3" s="68" t="s">
        <v>114</v>
      </c>
      <c r="G3" s="69" t="s">
        <v>115</v>
      </c>
      <c r="H3" s="70" t="s">
        <v>116</v>
      </c>
      <c r="I3" s="67"/>
      <c r="J3" s="67" t="s">
        <v>97</v>
      </c>
      <c r="K3" s="67"/>
      <c r="L3" s="67" t="s">
        <v>97</v>
      </c>
      <c r="M3" s="68"/>
      <c r="N3" s="69"/>
      <c r="O3" s="70"/>
      <c r="P3" s="67"/>
      <c r="Q3" s="401" t="s">
        <v>117</v>
      </c>
      <c r="R3" s="402"/>
      <c r="S3" s="402"/>
      <c r="T3" s="402"/>
      <c r="U3" s="402"/>
      <c r="V3" s="403"/>
      <c r="W3" s="67" t="s">
        <v>118</v>
      </c>
      <c r="X3" s="67"/>
      <c r="Y3" s="67" t="s">
        <v>119</v>
      </c>
      <c r="Z3" s="67" t="s">
        <v>120</v>
      </c>
      <c r="AA3" s="71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4"/>
    </row>
    <row r="4" spans="1:43" s="45" customFormat="1" ht="18.75" thickBot="1" x14ac:dyDescent="0.4">
      <c r="A4" s="65"/>
      <c r="B4" s="65"/>
      <c r="C4" s="65"/>
      <c r="D4" s="66"/>
      <c r="E4" s="72" t="s">
        <v>80</v>
      </c>
      <c r="F4" s="73" t="s">
        <v>121</v>
      </c>
      <c r="G4" s="74" t="s">
        <v>122</v>
      </c>
      <c r="H4" s="75" t="s">
        <v>123</v>
      </c>
      <c r="I4" s="76" t="s">
        <v>124</v>
      </c>
      <c r="J4" s="76" t="s">
        <v>24</v>
      </c>
      <c r="K4" s="76" t="s">
        <v>2</v>
      </c>
      <c r="L4" s="76" t="s">
        <v>125</v>
      </c>
      <c r="M4" s="77" t="s">
        <v>126</v>
      </c>
      <c r="N4" s="78" t="s">
        <v>127</v>
      </c>
      <c r="O4" s="79" t="s">
        <v>128</v>
      </c>
      <c r="P4" s="72" t="s">
        <v>129</v>
      </c>
      <c r="Q4" s="77">
        <v>19.100000000000001</v>
      </c>
      <c r="R4" s="78">
        <v>4.76</v>
      </c>
      <c r="S4" s="78">
        <v>2</v>
      </c>
      <c r="T4" s="78">
        <v>0.42</v>
      </c>
      <c r="U4" s="78">
        <v>7.3999999999999996E-2</v>
      </c>
      <c r="V4" s="79">
        <v>2E-3</v>
      </c>
      <c r="W4" s="72" t="s">
        <v>130</v>
      </c>
      <c r="X4" s="72" t="s">
        <v>131</v>
      </c>
      <c r="Y4" s="72" t="s">
        <v>132</v>
      </c>
      <c r="Z4" s="72" t="s">
        <v>133</v>
      </c>
      <c r="AA4" s="80" t="s">
        <v>134</v>
      </c>
      <c r="AB4" s="47"/>
      <c r="AC4" s="47"/>
      <c r="AD4" s="48"/>
      <c r="AE4" s="49"/>
      <c r="AF4" s="50"/>
      <c r="AG4" s="47"/>
      <c r="AH4" s="47"/>
      <c r="AI4" s="47"/>
      <c r="AJ4" s="51"/>
      <c r="AK4" s="49"/>
      <c r="AL4" s="50"/>
      <c r="AM4" s="47"/>
      <c r="AN4" s="47"/>
      <c r="AO4" s="47"/>
      <c r="AP4" s="52"/>
      <c r="AQ4" s="44"/>
    </row>
    <row r="5" spans="1:43" x14ac:dyDescent="0.25">
      <c r="A5" s="395">
        <v>1</v>
      </c>
      <c r="B5" s="211">
        <v>2</v>
      </c>
      <c r="C5" s="212">
        <v>1</v>
      </c>
      <c r="D5" s="213" t="s">
        <v>4</v>
      </c>
      <c r="E5" s="214">
        <v>68.400000000000006</v>
      </c>
      <c r="F5" s="215">
        <v>1.534</v>
      </c>
      <c r="G5" s="216">
        <v>0.91100000000000003</v>
      </c>
      <c r="H5" s="217">
        <v>0.56299999999999994</v>
      </c>
      <c r="I5" s="218">
        <v>2.6150000000000002</v>
      </c>
      <c r="J5" s="219">
        <v>65.2</v>
      </c>
      <c r="K5" s="218">
        <v>1.87</v>
      </c>
      <c r="L5" s="220">
        <v>95.6</v>
      </c>
      <c r="M5" s="221">
        <v>67.7</v>
      </c>
      <c r="N5" s="222">
        <v>34.200000000000003</v>
      </c>
      <c r="O5" s="223">
        <v>33.5</v>
      </c>
      <c r="P5" s="211">
        <v>1.02</v>
      </c>
      <c r="Q5" s="224"/>
      <c r="R5" s="225"/>
      <c r="S5" s="225">
        <v>100</v>
      </c>
      <c r="T5" s="225">
        <v>95</v>
      </c>
      <c r="U5" s="225">
        <v>78</v>
      </c>
      <c r="V5" s="226">
        <v>23</v>
      </c>
      <c r="W5" s="218"/>
      <c r="X5" s="218"/>
      <c r="Y5" s="218"/>
      <c r="Z5" s="227"/>
      <c r="AA5" s="228">
        <v>1</v>
      </c>
    </row>
    <row r="6" spans="1:43" x14ac:dyDescent="0.25">
      <c r="A6" s="396"/>
      <c r="B6" s="229">
        <v>2</v>
      </c>
      <c r="C6" s="230">
        <v>2</v>
      </c>
      <c r="D6" s="231" t="s">
        <v>5</v>
      </c>
      <c r="E6" s="232">
        <v>90.4</v>
      </c>
      <c r="F6" s="233">
        <v>1.4530000000000001</v>
      </c>
      <c r="G6" s="234">
        <v>0.76300000000000001</v>
      </c>
      <c r="H6" s="235">
        <v>0.47</v>
      </c>
      <c r="I6" s="236">
        <v>2.6030000000000002</v>
      </c>
      <c r="J6" s="237">
        <v>70.7</v>
      </c>
      <c r="K6" s="236">
        <v>2.4119999999999999</v>
      </c>
      <c r="L6" s="238">
        <v>97.6</v>
      </c>
      <c r="M6" s="239">
        <v>72.900000000000006</v>
      </c>
      <c r="N6" s="240">
        <v>37.1</v>
      </c>
      <c r="O6" s="241">
        <v>35.799999999999997</v>
      </c>
      <c r="P6" s="229">
        <v>1.49</v>
      </c>
      <c r="Q6" s="242"/>
      <c r="R6" s="243"/>
      <c r="S6" s="243">
        <v>100</v>
      </c>
      <c r="T6" s="243">
        <v>96</v>
      </c>
      <c r="U6" s="243">
        <v>80</v>
      </c>
      <c r="V6" s="244">
        <v>24</v>
      </c>
      <c r="W6" s="236">
        <v>0.14299999999999999</v>
      </c>
      <c r="X6" s="236">
        <v>0.93100000000000005</v>
      </c>
      <c r="Y6" s="236">
        <v>0.27</v>
      </c>
      <c r="Z6" s="245">
        <v>8.7110000000000003</v>
      </c>
      <c r="AA6" s="246">
        <v>0</v>
      </c>
    </row>
    <row r="7" spans="1:43" x14ac:dyDescent="0.25">
      <c r="A7" s="396"/>
      <c r="B7" s="229">
        <v>2</v>
      </c>
      <c r="C7" s="230">
        <v>3</v>
      </c>
      <c r="D7" s="231" t="s">
        <v>6</v>
      </c>
      <c r="E7" s="232">
        <v>93.2</v>
      </c>
      <c r="F7" s="233">
        <v>1.4450000000000001</v>
      </c>
      <c r="G7" s="234">
        <v>0.748</v>
      </c>
      <c r="H7" s="235">
        <v>0.46100000000000002</v>
      </c>
      <c r="I7" s="236">
        <v>2.6030000000000002</v>
      </c>
      <c r="J7" s="237">
        <v>71.3</v>
      </c>
      <c r="K7" s="236">
        <v>2.48</v>
      </c>
      <c r="L7" s="238">
        <v>97.8</v>
      </c>
      <c r="M7" s="239">
        <v>73.599999999999994</v>
      </c>
      <c r="N7" s="240">
        <v>37.5</v>
      </c>
      <c r="O7" s="241">
        <v>36.1</v>
      </c>
      <c r="P7" s="229">
        <v>1.54</v>
      </c>
      <c r="Q7" s="242"/>
      <c r="R7" s="243"/>
      <c r="S7" s="243">
        <v>100</v>
      </c>
      <c r="T7" s="243">
        <v>98</v>
      </c>
      <c r="U7" s="243">
        <v>83</v>
      </c>
      <c r="V7" s="244">
        <v>26</v>
      </c>
      <c r="W7" s="236"/>
      <c r="X7" s="236">
        <v>1.0049999999999999</v>
      </c>
      <c r="Y7" s="236">
        <v>0.29099999999999998</v>
      </c>
      <c r="Z7" s="245">
        <v>8.0289999999999999</v>
      </c>
      <c r="AA7" s="246">
        <v>0</v>
      </c>
    </row>
    <row r="8" spans="1:43" x14ac:dyDescent="0.25">
      <c r="A8" s="396"/>
      <c r="B8" s="229">
        <v>2</v>
      </c>
      <c r="C8" s="230">
        <v>4</v>
      </c>
      <c r="D8" s="231" t="s">
        <v>7</v>
      </c>
      <c r="E8" s="232">
        <v>87.4</v>
      </c>
      <c r="F8" s="233">
        <v>1.46</v>
      </c>
      <c r="G8" s="234">
        <v>0.77900000000000003</v>
      </c>
      <c r="H8" s="235">
        <v>0.48</v>
      </c>
      <c r="I8" s="236">
        <v>2.605</v>
      </c>
      <c r="J8" s="237">
        <v>70.099999999999994</v>
      </c>
      <c r="K8" s="236">
        <v>2.3439999999999999</v>
      </c>
      <c r="L8" s="238">
        <v>97.1</v>
      </c>
      <c r="M8" s="239">
        <v>74.8</v>
      </c>
      <c r="N8" s="240">
        <v>38.1</v>
      </c>
      <c r="O8" s="241">
        <v>36.700000000000003</v>
      </c>
      <c r="P8" s="229">
        <v>1.34</v>
      </c>
      <c r="Q8" s="242"/>
      <c r="R8" s="243"/>
      <c r="S8" s="243">
        <v>100</v>
      </c>
      <c r="T8" s="243">
        <v>97</v>
      </c>
      <c r="U8" s="243">
        <v>83</v>
      </c>
      <c r="V8" s="244">
        <v>37</v>
      </c>
      <c r="W8" s="236">
        <v>0.16500000000000001</v>
      </c>
      <c r="X8" s="236"/>
      <c r="Y8" s="236"/>
      <c r="Z8" s="245"/>
      <c r="AA8" s="246">
        <v>0</v>
      </c>
    </row>
    <row r="9" spans="1:43" x14ac:dyDescent="0.25">
      <c r="A9" s="396"/>
      <c r="B9" s="229">
        <v>2</v>
      </c>
      <c r="C9" s="230">
        <v>5</v>
      </c>
      <c r="D9" s="231" t="s">
        <v>8</v>
      </c>
      <c r="E9" s="232">
        <v>89.5</v>
      </c>
      <c r="F9" s="233">
        <v>1.4379999999999999</v>
      </c>
      <c r="G9" s="234">
        <v>0.75900000000000001</v>
      </c>
      <c r="H9" s="235">
        <v>0.46700000000000003</v>
      </c>
      <c r="I9" s="236">
        <v>2.6030000000000002</v>
      </c>
      <c r="J9" s="237">
        <v>70.8</v>
      </c>
      <c r="K9" s="236">
        <v>2.4300000000000002</v>
      </c>
      <c r="L9" s="238">
        <v>95.9</v>
      </c>
      <c r="M9" s="239">
        <v>75.7</v>
      </c>
      <c r="N9" s="240">
        <v>38.6</v>
      </c>
      <c r="O9" s="241">
        <v>37.1</v>
      </c>
      <c r="P9" s="229">
        <v>1.37</v>
      </c>
      <c r="Q9" s="242"/>
      <c r="R9" s="243"/>
      <c r="S9" s="243">
        <v>100</v>
      </c>
      <c r="T9" s="243">
        <v>98</v>
      </c>
      <c r="U9" s="243">
        <v>85</v>
      </c>
      <c r="V9" s="244">
        <v>38</v>
      </c>
      <c r="W9" s="236"/>
      <c r="X9" s="236"/>
      <c r="Y9" s="236"/>
      <c r="Z9" s="245"/>
      <c r="AA9" s="246">
        <v>0</v>
      </c>
    </row>
    <row r="10" spans="1:43" x14ac:dyDescent="0.25">
      <c r="A10" s="396"/>
      <c r="B10" s="229">
        <v>2</v>
      </c>
      <c r="C10" s="230">
        <v>6</v>
      </c>
      <c r="D10" s="231" t="s">
        <v>9</v>
      </c>
      <c r="E10" s="232">
        <v>88.9</v>
      </c>
      <c r="F10" s="233">
        <v>1.4530000000000001</v>
      </c>
      <c r="G10" s="234">
        <v>0.76900000000000002</v>
      </c>
      <c r="H10" s="235">
        <v>0.47399999999999998</v>
      </c>
      <c r="I10" s="236">
        <v>2.605</v>
      </c>
      <c r="J10" s="237">
        <v>70.5</v>
      </c>
      <c r="K10" s="236">
        <v>2.3879999999999999</v>
      </c>
      <c r="L10" s="238">
        <v>97</v>
      </c>
      <c r="M10" s="239">
        <v>77.5</v>
      </c>
      <c r="N10" s="240">
        <v>39.5</v>
      </c>
      <c r="O10" s="241">
        <v>38</v>
      </c>
      <c r="P10" s="229">
        <v>1.3</v>
      </c>
      <c r="Q10" s="242"/>
      <c r="R10" s="243"/>
      <c r="S10" s="243">
        <v>100</v>
      </c>
      <c r="T10" s="243">
        <v>99</v>
      </c>
      <c r="U10" s="243">
        <v>87</v>
      </c>
      <c r="V10" s="244">
        <v>39</v>
      </c>
      <c r="W10" s="236"/>
      <c r="X10" s="236">
        <v>0.89300000000000002</v>
      </c>
      <c r="Y10" s="236">
        <v>0.25900000000000001</v>
      </c>
      <c r="Z10" s="245">
        <v>9.0050000000000008</v>
      </c>
      <c r="AA10" s="246">
        <v>0</v>
      </c>
    </row>
    <row r="11" spans="1:43" x14ac:dyDescent="0.25">
      <c r="A11" s="396"/>
      <c r="B11" s="229">
        <v>2</v>
      </c>
      <c r="C11" s="230">
        <v>7</v>
      </c>
      <c r="D11" s="231" t="s">
        <v>10</v>
      </c>
      <c r="E11" s="232">
        <v>84.6</v>
      </c>
      <c r="F11" s="233">
        <v>1.4750000000000001</v>
      </c>
      <c r="G11" s="234">
        <v>0.79900000000000004</v>
      </c>
      <c r="H11" s="235">
        <v>0.49299999999999999</v>
      </c>
      <c r="I11" s="236">
        <v>2.6070000000000002</v>
      </c>
      <c r="J11" s="237">
        <v>69.400000000000006</v>
      </c>
      <c r="K11" s="236">
        <v>2.2629999999999999</v>
      </c>
      <c r="L11" s="238">
        <v>97.5</v>
      </c>
      <c r="M11" s="239">
        <v>76</v>
      </c>
      <c r="N11" s="240">
        <v>38.700000000000003</v>
      </c>
      <c r="O11" s="241">
        <v>37.299999999999997</v>
      </c>
      <c r="P11" s="229">
        <v>1.23</v>
      </c>
      <c r="Q11" s="242"/>
      <c r="R11" s="243"/>
      <c r="S11" s="243">
        <v>100</v>
      </c>
      <c r="T11" s="243">
        <v>99</v>
      </c>
      <c r="U11" s="243">
        <v>86</v>
      </c>
      <c r="V11" s="244">
        <v>37</v>
      </c>
      <c r="W11" s="236"/>
      <c r="X11" s="236"/>
      <c r="Y11" s="236"/>
      <c r="Z11" s="245"/>
      <c r="AA11" s="246">
        <v>0</v>
      </c>
    </row>
    <row r="12" spans="1:43" x14ac:dyDescent="0.25">
      <c r="A12" s="396"/>
      <c r="B12" s="229">
        <v>2</v>
      </c>
      <c r="C12" s="230">
        <v>8</v>
      </c>
      <c r="D12" s="231" t="s">
        <v>11</v>
      </c>
      <c r="E12" s="232">
        <v>81.3</v>
      </c>
      <c r="F12" s="233">
        <v>1.4830000000000001</v>
      </c>
      <c r="G12" s="234">
        <v>0.81799999999999995</v>
      </c>
      <c r="H12" s="235">
        <v>0.504</v>
      </c>
      <c r="I12" s="236">
        <v>2.6070000000000002</v>
      </c>
      <c r="J12" s="237">
        <v>68.599999999999994</v>
      </c>
      <c r="K12" s="236">
        <v>2.1869999999999998</v>
      </c>
      <c r="L12" s="238">
        <v>96.9</v>
      </c>
      <c r="M12" s="239">
        <v>74.2</v>
      </c>
      <c r="N12" s="240">
        <v>37.700000000000003</v>
      </c>
      <c r="O12" s="241">
        <v>36.5</v>
      </c>
      <c r="P12" s="229">
        <v>1.19</v>
      </c>
      <c r="Q12" s="242"/>
      <c r="R12" s="243"/>
      <c r="S12" s="243">
        <v>100</v>
      </c>
      <c r="T12" s="243">
        <v>98</v>
      </c>
      <c r="U12" s="243">
        <v>84</v>
      </c>
      <c r="V12" s="244">
        <v>35</v>
      </c>
      <c r="W12" s="236">
        <v>0.20100000000000001</v>
      </c>
      <c r="X12" s="236"/>
      <c r="Y12" s="236"/>
      <c r="Z12" s="245"/>
      <c r="AA12" s="246">
        <v>0</v>
      </c>
    </row>
    <row r="13" spans="1:43" x14ac:dyDescent="0.25">
      <c r="A13" s="396"/>
      <c r="B13" s="229">
        <v>2</v>
      </c>
      <c r="C13" s="230">
        <v>9</v>
      </c>
      <c r="D13" s="231" t="s">
        <v>12</v>
      </c>
      <c r="E13" s="232">
        <v>69.8</v>
      </c>
      <c r="F13" s="233">
        <v>1.528</v>
      </c>
      <c r="G13" s="234">
        <v>0.9</v>
      </c>
      <c r="H13" s="235">
        <v>0.55500000000000005</v>
      </c>
      <c r="I13" s="236">
        <v>2.609</v>
      </c>
      <c r="J13" s="237">
        <v>65.5</v>
      </c>
      <c r="K13" s="236">
        <v>1.899</v>
      </c>
      <c r="L13" s="238">
        <v>95.9</v>
      </c>
      <c r="M13" s="239">
        <v>67.099999999999994</v>
      </c>
      <c r="N13" s="240">
        <v>34</v>
      </c>
      <c r="O13" s="241">
        <v>33.1</v>
      </c>
      <c r="P13" s="229">
        <v>1.08</v>
      </c>
      <c r="Q13" s="242"/>
      <c r="R13" s="243"/>
      <c r="S13" s="243">
        <v>100</v>
      </c>
      <c r="T13" s="243">
        <v>97</v>
      </c>
      <c r="U13" s="243">
        <v>83</v>
      </c>
      <c r="V13" s="244">
        <v>34</v>
      </c>
      <c r="W13" s="236"/>
      <c r="X13" s="236"/>
      <c r="Y13" s="236"/>
      <c r="Z13" s="245"/>
      <c r="AA13" s="246">
        <v>0</v>
      </c>
    </row>
    <row r="14" spans="1:43" x14ac:dyDescent="0.25">
      <c r="A14" s="396"/>
      <c r="B14" s="229">
        <v>2</v>
      </c>
      <c r="C14" s="230">
        <v>10</v>
      </c>
      <c r="D14" s="231" t="s">
        <v>13</v>
      </c>
      <c r="E14" s="232">
        <v>61.1</v>
      </c>
      <c r="F14" s="233">
        <v>1.5580000000000001</v>
      </c>
      <c r="G14" s="234">
        <v>0.96699999999999997</v>
      </c>
      <c r="H14" s="235">
        <v>0.59699999999999998</v>
      </c>
      <c r="I14" s="236">
        <v>2.6120000000000001</v>
      </c>
      <c r="J14" s="237">
        <v>63</v>
      </c>
      <c r="K14" s="236">
        <v>1.7010000000000001</v>
      </c>
      <c r="L14" s="238">
        <v>93.8</v>
      </c>
      <c r="M14" s="239">
        <v>59.4</v>
      </c>
      <c r="N14" s="240">
        <v>30.3</v>
      </c>
      <c r="O14" s="241">
        <v>29.1</v>
      </c>
      <c r="P14" s="229">
        <v>1.06</v>
      </c>
      <c r="Q14" s="242"/>
      <c r="R14" s="243"/>
      <c r="S14" s="243">
        <v>100</v>
      </c>
      <c r="T14" s="243">
        <v>94</v>
      </c>
      <c r="U14" s="243">
        <v>79</v>
      </c>
      <c r="V14" s="244">
        <v>29</v>
      </c>
      <c r="W14" s="236"/>
      <c r="X14" s="236"/>
      <c r="Y14" s="236"/>
      <c r="Z14" s="245"/>
      <c r="AA14" s="246">
        <v>1</v>
      </c>
    </row>
    <row r="15" spans="1:43" x14ac:dyDescent="0.25">
      <c r="A15" s="396"/>
      <c r="B15" s="229" t="s">
        <v>227</v>
      </c>
      <c r="C15" s="230">
        <v>11</v>
      </c>
      <c r="D15" s="231" t="s">
        <v>83</v>
      </c>
      <c r="E15" s="237">
        <v>27.4</v>
      </c>
      <c r="F15" s="233">
        <v>1.9359999999999999</v>
      </c>
      <c r="G15" s="234">
        <v>1.4530000000000001</v>
      </c>
      <c r="H15" s="235">
        <v>0.996</v>
      </c>
      <c r="I15" s="236">
        <v>2.6669999999999998</v>
      </c>
      <c r="J15" s="237">
        <v>45.5</v>
      </c>
      <c r="K15" s="236">
        <v>0.67</v>
      </c>
      <c r="L15" s="238">
        <v>87.5</v>
      </c>
      <c r="M15" s="239" t="s">
        <v>144</v>
      </c>
      <c r="N15" s="240" t="s">
        <v>144</v>
      </c>
      <c r="O15" s="241" t="s">
        <v>144</v>
      </c>
      <c r="P15" s="229" t="s">
        <v>144</v>
      </c>
      <c r="Q15" s="242"/>
      <c r="R15" s="243"/>
      <c r="S15" s="243">
        <v>100</v>
      </c>
      <c r="T15" s="243">
        <v>82</v>
      </c>
      <c r="U15" s="243">
        <v>17</v>
      </c>
      <c r="V15" s="244" t="s">
        <v>144</v>
      </c>
      <c r="W15" s="236"/>
      <c r="X15" s="236">
        <v>0.13800000000000001</v>
      </c>
      <c r="Y15" s="236">
        <v>0.04</v>
      </c>
      <c r="Z15" s="245">
        <v>26.567</v>
      </c>
      <c r="AA15" s="246">
        <v>7</v>
      </c>
    </row>
    <row r="16" spans="1:43" x14ac:dyDescent="0.25">
      <c r="A16" s="396"/>
      <c r="B16" s="229">
        <v>4</v>
      </c>
      <c r="C16" s="230">
        <v>12</v>
      </c>
      <c r="D16" s="231" t="s">
        <v>84</v>
      </c>
      <c r="E16" s="237">
        <v>29.8</v>
      </c>
      <c r="F16" s="233">
        <v>1.905</v>
      </c>
      <c r="G16" s="234">
        <v>1.468</v>
      </c>
      <c r="H16" s="235">
        <v>0.92</v>
      </c>
      <c r="I16" s="236">
        <v>2.68</v>
      </c>
      <c r="J16" s="237">
        <v>45.2</v>
      </c>
      <c r="K16" s="236">
        <v>0.82599999999999996</v>
      </c>
      <c r="L16" s="238">
        <v>96.7</v>
      </c>
      <c r="M16" s="239">
        <v>47.3</v>
      </c>
      <c r="N16" s="240">
        <v>20.7</v>
      </c>
      <c r="O16" s="241">
        <v>26.6</v>
      </c>
      <c r="P16" s="229">
        <v>0.34</v>
      </c>
      <c r="Q16" s="242"/>
      <c r="R16" s="243"/>
      <c r="S16" s="243">
        <v>100</v>
      </c>
      <c r="T16" s="243">
        <v>93</v>
      </c>
      <c r="U16" s="243">
        <v>77</v>
      </c>
      <c r="V16" s="244">
        <v>26</v>
      </c>
      <c r="W16" s="236">
        <v>1.1100000000000001</v>
      </c>
      <c r="X16" s="236">
        <v>0.14599999999999999</v>
      </c>
      <c r="Y16" s="236">
        <v>4.2000000000000003E-2</v>
      </c>
      <c r="Z16" s="245">
        <v>33.274000000000001</v>
      </c>
      <c r="AA16" s="246">
        <v>12</v>
      </c>
    </row>
    <row r="17" spans="1:27" x14ac:dyDescent="0.25">
      <c r="A17" s="396"/>
      <c r="B17" s="229">
        <v>4</v>
      </c>
      <c r="C17" s="230">
        <v>13</v>
      </c>
      <c r="D17" s="231" t="s">
        <v>87</v>
      </c>
      <c r="E17" s="237">
        <v>29.3</v>
      </c>
      <c r="F17" s="233">
        <v>1.903</v>
      </c>
      <c r="G17" s="234">
        <v>1.472</v>
      </c>
      <c r="H17" s="235">
        <v>0.92300000000000004</v>
      </c>
      <c r="I17" s="236">
        <v>2.6789999999999998</v>
      </c>
      <c r="J17" s="237">
        <v>45.1</v>
      </c>
      <c r="K17" s="236">
        <v>0.82</v>
      </c>
      <c r="L17" s="238">
        <v>95.7</v>
      </c>
      <c r="M17" s="247">
        <v>45.4</v>
      </c>
      <c r="N17" s="248">
        <v>20.3</v>
      </c>
      <c r="O17" s="249">
        <v>25.1</v>
      </c>
      <c r="P17" s="237">
        <v>0.36</v>
      </c>
      <c r="Q17" s="242"/>
      <c r="R17" s="243"/>
      <c r="S17" s="243">
        <v>100</v>
      </c>
      <c r="T17" s="243">
        <v>95</v>
      </c>
      <c r="U17" s="243">
        <v>80</v>
      </c>
      <c r="V17" s="244">
        <v>25</v>
      </c>
      <c r="W17" s="236"/>
      <c r="X17" s="236"/>
      <c r="Y17" s="236"/>
      <c r="Z17" s="245"/>
      <c r="AA17" s="246">
        <v>8</v>
      </c>
    </row>
    <row r="18" spans="1:27" x14ac:dyDescent="0.25">
      <c r="A18" s="396"/>
      <c r="B18" s="229" t="s">
        <v>145</v>
      </c>
      <c r="C18" s="230">
        <v>14</v>
      </c>
      <c r="D18" s="231" t="s">
        <v>86</v>
      </c>
      <c r="E18" s="237">
        <v>27.6</v>
      </c>
      <c r="F18" s="233">
        <v>1.8320000000000001</v>
      </c>
      <c r="G18" s="234">
        <v>1.4359999999999999</v>
      </c>
      <c r="H18" s="235">
        <v>0.89800000000000002</v>
      </c>
      <c r="I18" s="236">
        <v>2.6680000000000001</v>
      </c>
      <c r="J18" s="237">
        <v>46.2</v>
      </c>
      <c r="K18" s="236">
        <v>0.85799999999999998</v>
      </c>
      <c r="L18" s="238">
        <v>85.8</v>
      </c>
      <c r="M18" s="239" t="s">
        <v>144</v>
      </c>
      <c r="N18" s="240" t="s">
        <v>144</v>
      </c>
      <c r="O18" s="241" t="s">
        <v>144</v>
      </c>
      <c r="P18" s="229" t="s">
        <v>144</v>
      </c>
      <c r="Q18" s="242"/>
      <c r="R18" s="243"/>
      <c r="S18" s="243">
        <v>100</v>
      </c>
      <c r="T18" s="243">
        <v>86</v>
      </c>
      <c r="U18" s="243">
        <v>18</v>
      </c>
      <c r="V18" s="244" t="s">
        <v>144</v>
      </c>
      <c r="W18" s="236"/>
      <c r="X18" s="236"/>
      <c r="Y18" s="236"/>
      <c r="Z18" s="245"/>
      <c r="AA18" s="246">
        <v>5</v>
      </c>
    </row>
    <row r="19" spans="1:27" x14ac:dyDescent="0.25">
      <c r="A19" s="396"/>
      <c r="B19" s="229" t="s">
        <v>145</v>
      </c>
      <c r="C19" s="230">
        <v>15</v>
      </c>
      <c r="D19" s="231" t="s">
        <v>89</v>
      </c>
      <c r="E19" s="237">
        <v>26.7</v>
      </c>
      <c r="F19" s="233">
        <v>1.8360000000000001</v>
      </c>
      <c r="G19" s="234">
        <v>1.4490000000000001</v>
      </c>
      <c r="H19" s="235">
        <v>0.90600000000000003</v>
      </c>
      <c r="I19" s="236">
        <v>2.6669999999999998</v>
      </c>
      <c r="J19" s="237">
        <v>45.7</v>
      </c>
      <c r="K19" s="236">
        <v>0.84099999999999997</v>
      </c>
      <c r="L19" s="238">
        <v>84.7</v>
      </c>
      <c r="M19" s="239" t="s">
        <v>144</v>
      </c>
      <c r="N19" s="240" t="s">
        <v>144</v>
      </c>
      <c r="O19" s="241" t="s">
        <v>144</v>
      </c>
      <c r="P19" s="229" t="s">
        <v>144</v>
      </c>
      <c r="Q19" s="242"/>
      <c r="R19" s="243"/>
      <c r="S19" s="243">
        <v>100</v>
      </c>
      <c r="T19" s="243">
        <v>82</v>
      </c>
      <c r="U19" s="243">
        <v>15</v>
      </c>
      <c r="V19" s="244" t="s">
        <v>144</v>
      </c>
      <c r="W19" s="236"/>
      <c r="X19" s="236"/>
      <c r="Y19" s="236"/>
      <c r="Z19" s="245"/>
      <c r="AA19" s="246">
        <v>6</v>
      </c>
    </row>
    <row r="20" spans="1:27" x14ac:dyDescent="0.25">
      <c r="A20" s="396"/>
      <c r="B20" s="229" t="s">
        <v>145</v>
      </c>
      <c r="C20" s="230">
        <v>16</v>
      </c>
      <c r="D20" s="231" t="s">
        <v>91</v>
      </c>
      <c r="E20" s="237">
        <v>26.1</v>
      </c>
      <c r="F20" s="233">
        <v>1.86</v>
      </c>
      <c r="G20" s="234">
        <v>1.4750000000000001</v>
      </c>
      <c r="H20" s="235">
        <v>0.92200000000000004</v>
      </c>
      <c r="I20" s="236">
        <v>2.6669999999999998</v>
      </c>
      <c r="J20" s="237">
        <v>44.7</v>
      </c>
      <c r="K20" s="236">
        <v>0.80800000000000005</v>
      </c>
      <c r="L20" s="238">
        <v>86.1</v>
      </c>
      <c r="M20" s="239" t="s">
        <v>144</v>
      </c>
      <c r="N20" s="240" t="s">
        <v>144</v>
      </c>
      <c r="O20" s="241" t="s">
        <v>144</v>
      </c>
      <c r="P20" s="229" t="s">
        <v>144</v>
      </c>
      <c r="Q20" s="242"/>
      <c r="R20" s="243"/>
      <c r="S20" s="243">
        <v>100</v>
      </c>
      <c r="T20" s="243">
        <v>84</v>
      </c>
      <c r="U20" s="243">
        <v>17</v>
      </c>
      <c r="V20" s="244" t="s">
        <v>144</v>
      </c>
      <c r="W20" s="236"/>
      <c r="X20" s="236"/>
      <c r="Y20" s="236"/>
      <c r="Z20" s="245"/>
      <c r="AA20" s="246">
        <v>7</v>
      </c>
    </row>
    <row r="21" spans="1:27" x14ac:dyDescent="0.25">
      <c r="A21" s="396"/>
      <c r="B21" s="229" t="s">
        <v>143</v>
      </c>
      <c r="C21" s="230">
        <v>17</v>
      </c>
      <c r="D21" s="231" t="s">
        <v>85</v>
      </c>
      <c r="E21" s="237">
        <v>20.9</v>
      </c>
      <c r="F21" s="233">
        <v>1.9370000000000001</v>
      </c>
      <c r="G21" s="234">
        <v>1.6020000000000001</v>
      </c>
      <c r="H21" s="235">
        <v>1</v>
      </c>
      <c r="I21" s="236">
        <v>2.6629999999999998</v>
      </c>
      <c r="J21" s="237">
        <v>39.799999999999997</v>
      </c>
      <c r="K21" s="236">
        <v>0.66200000000000003</v>
      </c>
      <c r="L21" s="238">
        <v>84</v>
      </c>
      <c r="M21" s="239" t="s">
        <v>144</v>
      </c>
      <c r="N21" s="240" t="s">
        <v>144</v>
      </c>
      <c r="O21" s="241" t="s">
        <v>144</v>
      </c>
      <c r="P21" s="229" t="s">
        <v>144</v>
      </c>
      <c r="Q21" s="242"/>
      <c r="R21" s="243"/>
      <c r="S21" s="243">
        <v>100</v>
      </c>
      <c r="T21" s="243">
        <v>82</v>
      </c>
      <c r="U21" s="243">
        <v>12</v>
      </c>
      <c r="V21" s="244" t="s">
        <v>144</v>
      </c>
      <c r="W21" s="236"/>
      <c r="X21" s="236">
        <v>9.4E-2</v>
      </c>
      <c r="Y21" s="236">
        <v>2.7E-2</v>
      </c>
      <c r="Z21" s="245">
        <v>35.591000000000001</v>
      </c>
      <c r="AA21" s="246">
        <v>15</v>
      </c>
    </row>
    <row r="22" spans="1:27" x14ac:dyDescent="0.25">
      <c r="A22" s="396"/>
      <c r="B22" s="229" t="s">
        <v>143</v>
      </c>
      <c r="C22" s="230">
        <v>18</v>
      </c>
      <c r="D22" s="231" t="s">
        <v>88</v>
      </c>
      <c r="E22" s="237">
        <v>19.600000000000001</v>
      </c>
      <c r="F22" s="233">
        <v>1.9610000000000001</v>
      </c>
      <c r="G22" s="234">
        <v>1.64</v>
      </c>
      <c r="H22" s="235">
        <v>1.024</v>
      </c>
      <c r="I22" s="236">
        <v>2.661</v>
      </c>
      <c r="J22" s="237">
        <v>38.4</v>
      </c>
      <c r="K22" s="236">
        <v>0.623</v>
      </c>
      <c r="L22" s="238">
        <v>83.8</v>
      </c>
      <c r="M22" s="239" t="s">
        <v>144</v>
      </c>
      <c r="N22" s="240" t="s">
        <v>144</v>
      </c>
      <c r="O22" s="241" t="s">
        <v>144</v>
      </c>
      <c r="P22" s="229" t="s">
        <v>144</v>
      </c>
      <c r="Q22" s="242"/>
      <c r="R22" s="243"/>
      <c r="S22" s="243">
        <v>100</v>
      </c>
      <c r="T22" s="243">
        <v>73</v>
      </c>
      <c r="U22" s="243">
        <v>7</v>
      </c>
      <c r="V22" s="244" t="s">
        <v>144</v>
      </c>
      <c r="W22" s="236"/>
      <c r="X22" s="236"/>
      <c r="Y22" s="236"/>
      <c r="Z22" s="245"/>
      <c r="AA22" s="246">
        <v>26</v>
      </c>
    </row>
    <row r="23" spans="1:27" x14ac:dyDescent="0.25">
      <c r="A23" s="396"/>
      <c r="B23" s="229" t="s">
        <v>143</v>
      </c>
      <c r="C23" s="230">
        <v>19</v>
      </c>
      <c r="D23" s="231" t="s">
        <v>228</v>
      </c>
      <c r="E23" s="237">
        <v>18.600000000000001</v>
      </c>
      <c r="F23" s="233">
        <v>1.9750000000000001</v>
      </c>
      <c r="G23" s="234">
        <v>1.665</v>
      </c>
      <c r="H23" s="235">
        <v>1.0389999999999999</v>
      </c>
      <c r="I23" s="236">
        <v>2.661</v>
      </c>
      <c r="J23" s="237">
        <v>37.4</v>
      </c>
      <c r="K23" s="236">
        <v>0.59799999999999998</v>
      </c>
      <c r="L23" s="238">
        <v>82.7</v>
      </c>
      <c r="M23" s="239" t="s">
        <v>144</v>
      </c>
      <c r="N23" s="240" t="s">
        <v>144</v>
      </c>
      <c r="O23" s="241" t="s">
        <v>144</v>
      </c>
      <c r="P23" s="229" t="s">
        <v>144</v>
      </c>
      <c r="Q23" s="242"/>
      <c r="R23" s="243"/>
      <c r="S23" s="243">
        <v>100</v>
      </c>
      <c r="T23" s="243">
        <v>61</v>
      </c>
      <c r="U23" s="243">
        <v>4</v>
      </c>
      <c r="V23" s="244" t="s">
        <v>144</v>
      </c>
      <c r="W23" s="236"/>
      <c r="X23" s="236"/>
      <c r="Y23" s="236"/>
      <c r="Z23" s="245"/>
      <c r="AA23" s="246">
        <v>30</v>
      </c>
    </row>
    <row r="24" spans="1:27" ht="15.75" thickBot="1" x14ac:dyDescent="0.3">
      <c r="A24" s="397"/>
      <c r="B24" s="261" t="s">
        <v>143</v>
      </c>
      <c r="C24" s="250">
        <v>20</v>
      </c>
      <c r="D24" s="251" t="s">
        <v>229</v>
      </c>
      <c r="E24" s="252">
        <v>19.100000000000001</v>
      </c>
      <c r="F24" s="253">
        <v>1.9690000000000001</v>
      </c>
      <c r="G24" s="254">
        <v>1.653</v>
      </c>
      <c r="H24" s="255">
        <v>1.032</v>
      </c>
      <c r="I24" s="256">
        <v>2.661</v>
      </c>
      <c r="J24" s="252">
        <v>37.9</v>
      </c>
      <c r="K24" s="256">
        <v>0.61</v>
      </c>
      <c r="L24" s="257">
        <v>83.3</v>
      </c>
      <c r="M24" s="258" t="s">
        <v>144</v>
      </c>
      <c r="N24" s="259" t="s">
        <v>144</v>
      </c>
      <c r="O24" s="260" t="s">
        <v>144</v>
      </c>
      <c r="P24" s="261" t="s">
        <v>144</v>
      </c>
      <c r="Q24" s="262"/>
      <c r="R24" s="263"/>
      <c r="S24" s="263">
        <v>100</v>
      </c>
      <c r="T24" s="263">
        <v>71</v>
      </c>
      <c r="U24" s="263">
        <v>8</v>
      </c>
      <c r="V24" s="264" t="s">
        <v>144</v>
      </c>
      <c r="W24" s="256"/>
      <c r="X24" s="256"/>
      <c r="Y24" s="256"/>
      <c r="Z24" s="265"/>
      <c r="AA24" s="266">
        <v>30</v>
      </c>
    </row>
    <row r="25" spans="1:27" x14ac:dyDescent="0.25">
      <c r="A25" s="404">
        <v>2</v>
      </c>
      <c r="B25" s="373">
        <v>2</v>
      </c>
      <c r="C25" s="374">
        <v>1</v>
      </c>
      <c r="D25" s="376" t="s">
        <v>14</v>
      </c>
      <c r="E25" s="377">
        <v>66</v>
      </c>
      <c r="F25" s="378">
        <v>1.5469999999999999</v>
      </c>
      <c r="G25" s="379">
        <v>0.93200000000000005</v>
      </c>
      <c r="H25" s="380">
        <v>0.57599999999999996</v>
      </c>
      <c r="I25" s="381">
        <v>2.6150000000000002</v>
      </c>
      <c r="J25" s="377">
        <v>64.400000000000006</v>
      </c>
      <c r="K25" s="381">
        <v>1.806</v>
      </c>
      <c r="L25" s="375">
        <v>95.6</v>
      </c>
      <c r="M25" s="382">
        <v>65.400000000000006</v>
      </c>
      <c r="N25" s="282">
        <v>33.4</v>
      </c>
      <c r="O25" s="383">
        <v>32</v>
      </c>
      <c r="P25" s="377">
        <v>1.02</v>
      </c>
      <c r="Q25" s="384"/>
      <c r="R25" s="385"/>
      <c r="S25" s="385">
        <v>100</v>
      </c>
      <c r="T25" s="385">
        <v>95</v>
      </c>
      <c r="U25" s="385">
        <v>80</v>
      </c>
      <c r="V25" s="386">
        <v>32</v>
      </c>
      <c r="W25" s="381"/>
      <c r="X25" s="381"/>
      <c r="Y25" s="381"/>
      <c r="Z25" s="387"/>
      <c r="AA25" s="388">
        <v>0</v>
      </c>
    </row>
    <row r="26" spans="1:27" x14ac:dyDescent="0.25">
      <c r="A26" s="396"/>
      <c r="B26" s="229">
        <v>2</v>
      </c>
      <c r="C26" s="230">
        <v>2</v>
      </c>
      <c r="D26" s="231" t="s">
        <v>15</v>
      </c>
      <c r="E26" s="237">
        <v>94.7</v>
      </c>
      <c r="F26" s="233">
        <v>1.4410000000000001</v>
      </c>
      <c r="G26" s="234">
        <v>0.74</v>
      </c>
      <c r="H26" s="235">
        <v>0.45600000000000002</v>
      </c>
      <c r="I26" s="236">
        <v>2.6030000000000002</v>
      </c>
      <c r="J26" s="237">
        <v>71.599999999999994</v>
      </c>
      <c r="K26" s="236">
        <v>2.5179999999999998</v>
      </c>
      <c r="L26" s="238">
        <v>97.9</v>
      </c>
      <c r="M26" s="247">
        <v>72.599999999999994</v>
      </c>
      <c r="N26" s="248">
        <v>37.5</v>
      </c>
      <c r="O26" s="249">
        <v>35.1</v>
      </c>
      <c r="P26" s="237">
        <v>1.63</v>
      </c>
      <c r="Q26" s="242"/>
      <c r="R26" s="243"/>
      <c r="S26" s="243">
        <v>100</v>
      </c>
      <c r="T26" s="243">
        <v>98</v>
      </c>
      <c r="U26" s="243">
        <v>84</v>
      </c>
      <c r="V26" s="244">
        <v>35</v>
      </c>
      <c r="W26" s="236">
        <v>0.13600000000000001</v>
      </c>
      <c r="X26" s="236">
        <v>1.093</v>
      </c>
      <c r="Y26" s="236">
        <v>0.317</v>
      </c>
      <c r="Z26" s="245">
        <v>7.4960000000000004</v>
      </c>
      <c r="AA26" s="246">
        <v>0</v>
      </c>
    </row>
    <row r="27" spans="1:27" x14ac:dyDescent="0.25">
      <c r="A27" s="396"/>
      <c r="B27" s="229">
        <v>2</v>
      </c>
      <c r="C27" s="230">
        <v>3</v>
      </c>
      <c r="D27" s="231" t="s">
        <v>16</v>
      </c>
      <c r="E27" s="237">
        <v>91.4</v>
      </c>
      <c r="F27" s="233">
        <v>1.4550000000000001</v>
      </c>
      <c r="G27" s="234">
        <v>0.76</v>
      </c>
      <c r="H27" s="235">
        <v>0.46800000000000003</v>
      </c>
      <c r="I27" s="236">
        <v>2.6030000000000002</v>
      </c>
      <c r="J27" s="237">
        <v>70.8</v>
      </c>
      <c r="K27" s="236">
        <v>2.4249999999999998</v>
      </c>
      <c r="L27" s="238">
        <v>98.1</v>
      </c>
      <c r="M27" s="247">
        <v>73.3</v>
      </c>
      <c r="N27" s="248">
        <v>37.700000000000003</v>
      </c>
      <c r="O27" s="249">
        <v>35.6</v>
      </c>
      <c r="P27" s="237">
        <v>1.51</v>
      </c>
      <c r="Q27" s="242"/>
      <c r="R27" s="243"/>
      <c r="S27" s="243">
        <v>100</v>
      </c>
      <c r="T27" s="243">
        <v>98</v>
      </c>
      <c r="U27" s="243">
        <v>86</v>
      </c>
      <c r="V27" s="244">
        <v>36</v>
      </c>
      <c r="W27" s="236"/>
      <c r="X27" s="236"/>
      <c r="Y27" s="236"/>
      <c r="Z27" s="245"/>
      <c r="AA27" s="246">
        <v>0</v>
      </c>
    </row>
    <row r="28" spans="1:27" x14ac:dyDescent="0.25">
      <c r="A28" s="396"/>
      <c r="B28" s="229">
        <v>2</v>
      </c>
      <c r="C28" s="230">
        <v>4</v>
      </c>
      <c r="D28" s="231" t="s">
        <v>17</v>
      </c>
      <c r="E28" s="237">
        <v>88.7</v>
      </c>
      <c r="F28" s="233">
        <v>1.462</v>
      </c>
      <c r="G28" s="234">
        <v>0.77500000000000002</v>
      </c>
      <c r="H28" s="235">
        <v>0.47699999999999998</v>
      </c>
      <c r="I28" s="236">
        <v>2.6040000000000001</v>
      </c>
      <c r="J28" s="237">
        <v>70.2</v>
      </c>
      <c r="K28" s="236">
        <v>2.36</v>
      </c>
      <c r="L28" s="238">
        <v>97.9</v>
      </c>
      <c r="M28" s="247">
        <v>74.7</v>
      </c>
      <c r="N28" s="248">
        <v>38.299999999999997</v>
      </c>
      <c r="O28" s="249">
        <v>36.4</v>
      </c>
      <c r="P28" s="237">
        <v>1.38</v>
      </c>
      <c r="Q28" s="242"/>
      <c r="R28" s="243"/>
      <c r="S28" s="243">
        <v>100</v>
      </c>
      <c r="T28" s="243">
        <v>96</v>
      </c>
      <c r="U28" s="243">
        <v>82</v>
      </c>
      <c r="V28" s="244">
        <v>36</v>
      </c>
      <c r="W28" s="236"/>
      <c r="X28" s="236">
        <v>0.96799999999999997</v>
      </c>
      <c r="Y28" s="236">
        <v>0.28100000000000003</v>
      </c>
      <c r="Z28" s="245">
        <v>8.1280000000000001</v>
      </c>
      <c r="AA28" s="246">
        <v>0</v>
      </c>
    </row>
    <row r="29" spans="1:27" x14ac:dyDescent="0.25">
      <c r="A29" s="396"/>
      <c r="B29" s="229">
        <v>2</v>
      </c>
      <c r="C29" s="230">
        <v>5</v>
      </c>
      <c r="D29" s="231" t="s">
        <v>18</v>
      </c>
      <c r="E29" s="237">
        <v>94</v>
      </c>
      <c r="F29" s="233">
        <v>1.4470000000000001</v>
      </c>
      <c r="G29" s="234">
        <v>0.746</v>
      </c>
      <c r="H29" s="235">
        <v>0.45900000000000002</v>
      </c>
      <c r="I29" s="236">
        <v>2.6030000000000002</v>
      </c>
      <c r="J29" s="237">
        <v>71.3</v>
      </c>
      <c r="K29" s="236">
        <v>2.4889999999999999</v>
      </c>
      <c r="L29" s="238">
        <v>98.3</v>
      </c>
      <c r="M29" s="247">
        <v>75.2</v>
      </c>
      <c r="N29" s="248">
        <v>38.5</v>
      </c>
      <c r="O29" s="249">
        <v>36.700000000000003</v>
      </c>
      <c r="P29" s="237">
        <v>1.51</v>
      </c>
      <c r="Q29" s="242"/>
      <c r="R29" s="243"/>
      <c r="S29" s="243">
        <v>100</v>
      </c>
      <c r="T29" s="243">
        <v>97</v>
      </c>
      <c r="U29" s="243">
        <v>84</v>
      </c>
      <c r="V29" s="244">
        <v>37</v>
      </c>
      <c r="W29" s="236"/>
      <c r="X29" s="236"/>
      <c r="Y29" s="236"/>
      <c r="Z29" s="245"/>
      <c r="AA29" s="246">
        <v>0</v>
      </c>
    </row>
    <row r="30" spans="1:27" x14ac:dyDescent="0.25">
      <c r="A30" s="396"/>
      <c r="B30" s="229">
        <v>2</v>
      </c>
      <c r="C30" s="230">
        <v>6</v>
      </c>
      <c r="D30" s="231" t="s">
        <v>19</v>
      </c>
      <c r="E30" s="237">
        <v>86.6</v>
      </c>
      <c r="F30" s="233">
        <v>1.4670000000000001</v>
      </c>
      <c r="G30" s="234">
        <v>0.78600000000000003</v>
      </c>
      <c r="H30" s="235">
        <v>0.48399999999999999</v>
      </c>
      <c r="I30" s="236">
        <v>2.605</v>
      </c>
      <c r="J30" s="237">
        <v>69.8</v>
      </c>
      <c r="K30" s="236">
        <v>2.3140000000000001</v>
      </c>
      <c r="L30" s="238">
        <v>97.5</v>
      </c>
      <c r="M30" s="247">
        <v>74.099999999999994</v>
      </c>
      <c r="N30" s="248">
        <v>38.1</v>
      </c>
      <c r="O30" s="249">
        <v>36</v>
      </c>
      <c r="P30" s="237">
        <v>1.35</v>
      </c>
      <c r="Q30" s="242"/>
      <c r="R30" s="243"/>
      <c r="S30" s="243">
        <v>100</v>
      </c>
      <c r="T30" s="243">
        <v>95</v>
      </c>
      <c r="U30" s="243">
        <v>80</v>
      </c>
      <c r="V30" s="244">
        <v>35</v>
      </c>
      <c r="W30" s="236"/>
      <c r="X30" s="236"/>
      <c r="Y30" s="236"/>
      <c r="Z30" s="245"/>
      <c r="AA30" s="246">
        <v>1</v>
      </c>
    </row>
    <row r="31" spans="1:27" x14ac:dyDescent="0.25">
      <c r="A31" s="396"/>
      <c r="B31" s="229">
        <v>2</v>
      </c>
      <c r="C31" s="230">
        <v>7</v>
      </c>
      <c r="D31" s="231" t="s">
        <v>20</v>
      </c>
      <c r="E31" s="237">
        <v>81.7</v>
      </c>
      <c r="F31" s="233">
        <v>1.4750000000000001</v>
      </c>
      <c r="G31" s="234">
        <v>0.81200000000000006</v>
      </c>
      <c r="H31" s="235">
        <v>0.501</v>
      </c>
      <c r="I31" s="236">
        <v>2.6070000000000002</v>
      </c>
      <c r="J31" s="237">
        <v>68.900000000000006</v>
      </c>
      <c r="K31" s="236">
        <v>2.2109999999999999</v>
      </c>
      <c r="L31" s="238">
        <v>96.4</v>
      </c>
      <c r="M31" s="247">
        <v>72.7</v>
      </c>
      <c r="N31" s="248">
        <v>37.4</v>
      </c>
      <c r="O31" s="249">
        <v>35.299999999999997</v>
      </c>
      <c r="P31" s="237">
        <v>1.25</v>
      </c>
      <c r="Q31" s="242"/>
      <c r="R31" s="243"/>
      <c r="S31" s="243">
        <v>100</v>
      </c>
      <c r="T31" s="243">
        <v>98</v>
      </c>
      <c r="U31" s="243">
        <v>84</v>
      </c>
      <c r="V31" s="244">
        <v>35</v>
      </c>
      <c r="W31" s="236">
        <v>0.187</v>
      </c>
      <c r="X31" s="236">
        <v>0.82699999999999996</v>
      </c>
      <c r="Y31" s="236">
        <v>0.24</v>
      </c>
      <c r="Z31" s="245">
        <v>9.17</v>
      </c>
      <c r="AA31" s="246">
        <v>1</v>
      </c>
    </row>
    <row r="32" spans="1:27" x14ac:dyDescent="0.25">
      <c r="A32" s="396"/>
      <c r="B32" s="229">
        <v>2</v>
      </c>
      <c r="C32" s="230">
        <v>8</v>
      </c>
      <c r="D32" s="231" t="s">
        <v>21</v>
      </c>
      <c r="E32" s="237">
        <v>75.400000000000006</v>
      </c>
      <c r="F32" s="233">
        <v>1.496</v>
      </c>
      <c r="G32" s="234">
        <v>0.85299999999999998</v>
      </c>
      <c r="H32" s="235">
        <v>0.52600000000000002</v>
      </c>
      <c r="I32" s="236">
        <v>2.6070000000000002</v>
      </c>
      <c r="J32" s="237">
        <v>67.3</v>
      </c>
      <c r="K32" s="236">
        <v>2.056</v>
      </c>
      <c r="L32" s="238">
        <v>95.6</v>
      </c>
      <c r="M32" s="247">
        <v>69.7</v>
      </c>
      <c r="N32" s="248">
        <v>36</v>
      </c>
      <c r="O32" s="249">
        <v>33.700000000000003</v>
      </c>
      <c r="P32" s="237">
        <v>1.17</v>
      </c>
      <c r="Q32" s="242"/>
      <c r="R32" s="243"/>
      <c r="S32" s="243">
        <v>100</v>
      </c>
      <c r="T32" s="243">
        <v>97</v>
      </c>
      <c r="U32" s="243">
        <v>83</v>
      </c>
      <c r="V32" s="244">
        <v>33</v>
      </c>
      <c r="W32" s="236"/>
      <c r="X32" s="236"/>
      <c r="Y32" s="236"/>
      <c r="Z32" s="245"/>
      <c r="AA32" s="246">
        <v>1</v>
      </c>
    </row>
    <row r="33" spans="1:27" x14ac:dyDescent="0.25">
      <c r="A33" s="396"/>
      <c r="B33" s="229">
        <v>2</v>
      </c>
      <c r="C33" s="230">
        <v>9</v>
      </c>
      <c r="D33" s="231" t="s">
        <v>22</v>
      </c>
      <c r="E33" s="237">
        <v>64.599999999999994</v>
      </c>
      <c r="F33" s="233">
        <v>1.5209999999999999</v>
      </c>
      <c r="G33" s="234">
        <v>0.92400000000000004</v>
      </c>
      <c r="H33" s="235">
        <v>0.56999999999999995</v>
      </c>
      <c r="I33" s="236">
        <v>2.609</v>
      </c>
      <c r="J33" s="237">
        <v>64.599999999999994</v>
      </c>
      <c r="K33" s="236">
        <v>1.8240000000000001</v>
      </c>
      <c r="L33" s="238">
        <v>92.4</v>
      </c>
      <c r="M33" s="247">
        <v>61.6</v>
      </c>
      <c r="N33" s="248">
        <v>31.4</v>
      </c>
      <c r="O33" s="249">
        <v>30.2</v>
      </c>
      <c r="P33" s="237">
        <v>1.1000000000000001</v>
      </c>
      <c r="Q33" s="242"/>
      <c r="R33" s="243"/>
      <c r="S33" s="243">
        <v>100</v>
      </c>
      <c r="T33" s="243">
        <v>95</v>
      </c>
      <c r="U33" s="243">
        <v>80</v>
      </c>
      <c r="V33" s="244">
        <v>30</v>
      </c>
      <c r="W33" s="236">
        <v>0.23100000000000001</v>
      </c>
      <c r="X33" s="236"/>
      <c r="Y33" s="236"/>
      <c r="Z33" s="245"/>
      <c r="AA33" s="246">
        <v>1</v>
      </c>
    </row>
    <row r="34" spans="1:27" x14ac:dyDescent="0.25">
      <c r="A34" s="396"/>
      <c r="B34" s="229">
        <v>2</v>
      </c>
      <c r="C34" s="230">
        <v>10</v>
      </c>
      <c r="D34" s="231" t="s">
        <v>23</v>
      </c>
      <c r="E34" s="237">
        <v>58.7</v>
      </c>
      <c r="F34" s="233">
        <v>1.544</v>
      </c>
      <c r="G34" s="234">
        <v>0.97299999999999998</v>
      </c>
      <c r="H34" s="235">
        <v>0.6</v>
      </c>
      <c r="I34" s="236">
        <v>2.6120000000000001</v>
      </c>
      <c r="J34" s="237">
        <v>62.7</v>
      </c>
      <c r="K34" s="236">
        <v>1.6839999999999999</v>
      </c>
      <c r="L34" s="238">
        <v>91</v>
      </c>
      <c r="M34" s="247">
        <v>57.8</v>
      </c>
      <c r="N34" s="248">
        <v>29.1</v>
      </c>
      <c r="O34" s="249">
        <v>28.7</v>
      </c>
      <c r="P34" s="237">
        <v>1.03</v>
      </c>
      <c r="Q34" s="242"/>
      <c r="R34" s="243"/>
      <c r="S34" s="243">
        <v>100</v>
      </c>
      <c r="T34" s="243">
        <v>93</v>
      </c>
      <c r="U34" s="243">
        <v>78</v>
      </c>
      <c r="V34" s="244">
        <v>28</v>
      </c>
      <c r="W34" s="236"/>
      <c r="X34" s="236"/>
      <c r="Y34" s="236"/>
      <c r="Z34" s="245"/>
      <c r="AA34" s="246">
        <v>1</v>
      </c>
    </row>
    <row r="35" spans="1:27" x14ac:dyDescent="0.25">
      <c r="A35" s="396"/>
      <c r="B35" s="229" t="s">
        <v>230</v>
      </c>
      <c r="C35" s="230">
        <v>11</v>
      </c>
      <c r="D35" s="231" t="s">
        <v>82</v>
      </c>
      <c r="E35" s="237">
        <v>21.4</v>
      </c>
      <c r="F35" s="233">
        <v>1.9359999999999999</v>
      </c>
      <c r="G35" s="234">
        <v>1.595</v>
      </c>
      <c r="H35" s="235">
        <v>0.996</v>
      </c>
      <c r="I35" s="236">
        <v>2.66</v>
      </c>
      <c r="J35" s="229">
        <v>40.1</v>
      </c>
      <c r="K35" s="236">
        <v>0.67</v>
      </c>
      <c r="L35" s="238">
        <v>85.1</v>
      </c>
      <c r="M35" s="239" t="s">
        <v>144</v>
      </c>
      <c r="N35" s="240" t="s">
        <v>144</v>
      </c>
      <c r="O35" s="241" t="s">
        <v>144</v>
      </c>
      <c r="P35" s="229" t="s">
        <v>144</v>
      </c>
      <c r="Q35" s="242"/>
      <c r="R35" s="243"/>
      <c r="S35" s="243">
        <v>100</v>
      </c>
      <c r="T35" s="243">
        <v>84</v>
      </c>
      <c r="U35" s="243">
        <v>12</v>
      </c>
      <c r="V35" s="244" t="s">
        <v>144</v>
      </c>
      <c r="W35" s="236"/>
      <c r="X35" s="236"/>
      <c r="Y35" s="236"/>
      <c r="Z35" s="245"/>
      <c r="AA35" s="246">
        <v>15</v>
      </c>
    </row>
    <row r="36" spans="1:27" x14ac:dyDescent="0.25">
      <c r="A36" s="396"/>
      <c r="B36" s="229">
        <v>4</v>
      </c>
      <c r="C36" s="230">
        <v>12</v>
      </c>
      <c r="D36" s="231" t="s">
        <v>90</v>
      </c>
      <c r="E36" s="237">
        <v>32.799999999999997</v>
      </c>
      <c r="F36" s="233">
        <v>1.8580000000000001</v>
      </c>
      <c r="G36" s="234">
        <v>1.399</v>
      </c>
      <c r="H36" s="235">
        <v>0.877</v>
      </c>
      <c r="I36" s="236">
        <v>2.6779999999999999</v>
      </c>
      <c r="J36" s="229">
        <v>47.8</v>
      </c>
      <c r="K36" s="236">
        <v>0.91400000000000003</v>
      </c>
      <c r="L36" s="238">
        <v>96.1</v>
      </c>
      <c r="M36" s="247">
        <v>47.1</v>
      </c>
      <c r="N36" s="248">
        <v>21.1</v>
      </c>
      <c r="O36" s="249">
        <v>26</v>
      </c>
      <c r="P36" s="237">
        <v>0.45</v>
      </c>
      <c r="Q36" s="242"/>
      <c r="R36" s="243"/>
      <c r="S36" s="243">
        <v>100</v>
      </c>
      <c r="T36" s="243">
        <v>92</v>
      </c>
      <c r="U36" s="243">
        <v>76</v>
      </c>
      <c r="V36" s="244">
        <v>26</v>
      </c>
      <c r="W36" s="236">
        <v>1.085</v>
      </c>
      <c r="X36" s="236">
        <v>0.155</v>
      </c>
      <c r="Y36" s="236">
        <v>4.4999999999999998E-2</v>
      </c>
      <c r="Z36" s="245">
        <v>32.872</v>
      </c>
      <c r="AA36" s="246">
        <v>9</v>
      </c>
    </row>
    <row r="37" spans="1:27" x14ac:dyDescent="0.25">
      <c r="A37" s="396"/>
      <c r="B37" s="229">
        <v>4</v>
      </c>
      <c r="C37" s="230">
        <v>13</v>
      </c>
      <c r="D37" s="231" t="s">
        <v>92</v>
      </c>
      <c r="E37" s="237">
        <v>31.2</v>
      </c>
      <c r="F37" s="233">
        <v>1.8720000000000001</v>
      </c>
      <c r="G37" s="234">
        <v>1.427</v>
      </c>
      <c r="H37" s="235">
        <v>0.89400000000000002</v>
      </c>
      <c r="I37" s="236">
        <v>2.6779999999999999</v>
      </c>
      <c r="J37" s="229">
        <v>46.7</v>
      </c>
      <c r="K37" s="236">
        <v>0.877</v>
      </c>
      <c r="L37" s="238">
        <v>95.3</v>
      </c>
      <c r="M37" s="247">
        <v>45.9</v>
      </c>
      <c r="N37" s="248">
        <v>20.5</v>
      </c>
      <c r="O37" s="249">
        <v>25.4</v>
      </c>
      <c r="P37" s="237">
        <v>0.42</v>
      </c>
      <c r="Q37" s="242"/>
      <c r="R37" s="243"/>
      <c r="S37" s="243">
        <v>100</v>
      </c>
      <c r="T37" s="243">
        <v>94</v>
      </c>
      <c r="U37" s="243">
        <v>78</v>
      </c>
      <c r="V37" s="244">
        <v>25</v>
      </c>
      <c r="W37" s="236"/>
      <c r="X37" s="236"/>
      <c r="Y37" s="236"/>
      <c r="Z37" s="245"/>
      <c r="AA37" s="246">
        <v>9</v>
      </c>
    </row>
    <row r="38" spans="1:27" x14ac:dyDescent="0.25">
      <c r="A38" s="396"/>
      <c r="B38" s="229" t="s">
        <v>145</v>
      </c>
      <c r="C38" s="230">
        <v>14</v>
      </c>
      <c r="D38" s="231" t="s">
        <v>93</v>
      </c>
      <c r="E38" s="237">
        <v>26.4</v>
      </c>
      <c r="F38" s="233">
        <v>1.84</v>
      </c>
      <c r="G38" s="234">
        <v>1.456</v>
      </c>
      <c r="H38" s="235">
        <v>0.91</v>
      </c>
      <c r="I38" s="236">
        <v>2.6669999999999998</v>
      </c>
      <c r="J38" s="229">
        <v>45.4</v>
      </c>
      <c r="K38" s="236">
        <v>0.83199999999999996</v>
      </c>
      <c r="L38" s="238">
        <v>84.7</v>
      </c>
      <c r="M38" s="239" t="s">
        <v>144</v>
      </c>
      <c r="N38" s="240" t="s">
        <v>144</v>
      </c>
      <c r="O38" s="241" t="s">
        <v>144</v>
      </c>
      <c r="P38" s="229" t="s">
        <v>144</v>
      </c>
      <c r="Q38" s="242"/>
      <c r="R38" s="243"/>
      <c r="S38" s="243">
        <v>100</v>
      </c>
      <c r="T38" s="243">
        <v>86</v>
      </c>
      <c r="U38" s="243">
        <v>16</v>
      </c>
      <c r="V38" s="244" t="s">
        <v>144</v>
      </c>
      <c r="W38" s="236"/>
      <c r="X38" s="236"/>
      <c r="Y38" s="236"/>
      <c r="Z38" s="245"/>
      <c r="AA38" s="246">
        <v>6</v>
      </c>
    </row>
    <row r="39" spans="1:27" x14ac:dyDescent="0.25">
      <c r="A39" s="396"/>
      <c r="B39" s="229" t="s">
        <v>145</v>
      </c>
      <c r="C39" s="230">
        <v>15</v>
      </c>
      <c r="D39" s="231" t="s">
        <v>95</v>
      </c>
      <c r="E39" s="237">
        <v>25.7</v>
      </c>
      <c r="F39" s="233">
        <v>1.845</v>
      </c>
      <c r="G39" s="234">
        <v>1.468</v>
      </c>
      <c r="H39" s="235">
        <v>0.91800000000000004</v>
      </c>
      <c r="I39" s="236">
        <v>2.6669999999999998</v>
      </c>
      <c r="J39" s="229">
        <v>45</v>
      </c>
      <c r="K39" s="236">
        <v>0.81699999999999995</v>
      </c>
      <c r="L39" s="238">
        <v>83.9</v>
      </c>
      <c r="M39" s="239" t="s">
        <v>144</v>
      </c>
      <c r="N39" s="240" t="s">
        <v>144</v>
      </c>
      <c r="O39" s="241" t="s">
        <v>144</v>
      </c>
      <c r="P39" s="229" t="s">
        <v>144</v>
      </c>
      <c r="Q39" s="242"/>
      <c r="R39" s="243"/>
      <c r="S39" s="243">
        <v>100</v>
      </c>
      <c r="T39" s="243">
        <v>84</v>
      </c>
      <c r="U39" s="243">
        <v>11</v>
      </c>
      <c r="V39" s="244" t="s">
        <v>144</v>
      </c>
      <c r="W39" s="236"/>
      <c r="X39" s="236">
        <v>0.13400000000000001</v>
      </c>
      <c r="Y39" s="236">
        <v>3.9E-2</v>
      </c>
      <c r="Z39" s="245">
        <v>27.065999999999999</v>
      </c>
      <c r="AA39" s="246">
        <v>7</v>
      </c>
    </row>
    <row r="40" spans="1:27" x14ac:dyDescent="0.25">
      <c r="A40" s="396"/>
      <c r="B40" s="229" t="s">
        <v>143</v>
      </c>
      <c r="C40" s="230">
        <v>16</v>
      </c>
      <c r="D40" s="231" t="s">
        <v>94</v>
      </c>
      <c r="E40" s="237">
        <v>23.2</v>
      </c>
      <c r="F40" s="233">
        <v>1.8959999999999999</v>
      </c>
      <c r="G40" s="234">
        <v>1.5389999999999999</v>
      </c>
      <c r="H40" s="235">
        <v>0.96099999999999997</v>
      </c>
      <c r="I40" s="236">
        <v>2.6640000000000001</v>
      </c>
      <c r="J40" s="229">
        <v>42.2</v>
      </c>
      <c r="K40" s="236">
        <v>0.73099999999999998</v>
      </c>
      <c r="L40" s="238">
        <v>84.5</v>
      </c>
      <c r="M40" s="239" t="s">
        <v>144</v>
      </c>
      <c r="N40" s="240" t="s">
        <v>144</v>
      </c>
      <c r="O40" s="241" t="s">
        <v>144</v>
      </c>
      <c r="P40" s="229" t="s">
        <v>144</v>
      </c>
      <c r="Q40" s="242"/>
      <c r="R40" s="243"/>
      <c r="S40" s="243">
        <v>100</v>
      </c>
      <c r="T40" s="243">
        <v>62</v>
      </c>
      <c r="U40" s="243">
        <v>14</v>
      </c>
      <c r="V40" s="244" t="s">
        <v>144</v>
      </c>
      <c r="W40" s="236"/>
      <c r="X40" s="236"/>
      <c r="Y40" s="236"/>
      <c r="Z40" s="245"/>
      <c r="AA40" s="246">
        <v>12</v>
      </c>
    </row>
    <row r="41" spans="1:27" x14ac:dyDescent="0.25">
      <c r="A41" s="396"/>
      <c r="B41" s="229" t="s">
        <v>143</v>
      </c>
      <c r="C41" s="230">
        <v>17</v>
      </c>
      <c r="D41" s="231" t="s">
        <v>96</v>
      </c>
      <c r="E41" s="237">
        <v>23.7</v>
      </c>
      <c r="F41" s="233">
        <v>1.893</v>
      </c>
      <c r="G41" s="234">
        <v>1.53</v>
      </c>
      <c r="H41" s="235">
        <v>0.95599999999999996</v>
      </c>
      <c r="I41" s="236">
        <v>2.665</v>
      </c>
      <c r="J41" s="229">
        <v>42.6</v>
      </c>
      <c r="K41" s="236">
        <v>0.74199999999999999</v>
      </c>
      <c r="L41" s="238">
        <v>85.1</v>
      </c>
      <c r="M41" s="239" t="s">
        <v>144</v>
      </c>
      <c r="N41" s="240" t="s">
        <v>144</v>
      </c>
      <c r="O41" s="241" t="s">
        <v>144</v>
      </c>
      <c r="P41" s="229" t="s">
        <v>144</v>
      </c>
      <c r="Q41" s="242"/>
      <c r="R41" s="243"/>
      <c r="S41" s="243">
        <v>100</v>
      </c>
      <c r="T41" s="243">
        <v>69</v>
      </c>
      <c r="U41" s="243">
        <v>17</v>
      </c>
      <c r="V41" s="244" t="s">
        <v>144</v>
      </c>
      <c r="W41" s="236"/>
      <c r="X41" s="236"/>
      <c r="Y41" s="236"/>
      <c r="Z41" s="245"/>
      <c r="AA41" s="246">
        <v>11</v>
      </c>
    </row>
    <row r="42" spans="1:27" x14ac:dyDescent="0.25">
      <c r="A42" s="396"/>
      <c r="B42" s="229" t="s">
        <v>143</v>
      </c>
      <c r="C42" s="230">
        <v>18</v>
      </c>
      <c r="D42" s="231" t="s">
        <v>231</v>
      </c>
      <c r="E42" s="237">
        <v>22.3</v>
      </c>
      <c r="F42" s="233">
        <v>1.91</v>
      </c>
      <c r="G42" s="234">
        <v>1.5620000000000001</v>
      </c>
      <c r="H42" s="235">
        <v>0.97599999999999998</v>
      </c>
      <c r="I42" s="236">
        <v>2.6640000000000001</v>
      </c>
      <c r="J42" s="229">
        <v>41.4</v>
      </c>
      <c r="K42" s="236">
        <v>0.70599999999999996</v>
      </c>
      <c r="L42" s="238">
        <v>84.2</v>
      </c>
      <c r="M42" s="239" t="s">
        <v>144</v>
      </c>
      <c r="N42" s="240" t="s">
        <v>144</v>
      </c>
      <c r="O42" s="241" t="s">
        <v>144</v>
      </c>
      <c r="P42" s="229" t="s">
        <v>144</v>
      </c>
      <c r="Q42" s="242"/>
      <c r="R42" s="243"/>
      <c r="S42" s="243">
        <v>100</v>
      </c>
      <c r="T42" s="243">
        <v>52</v>
      </c>
      <c r="U42" s="243">
        <v>11</v>
      </c>
      <c r="V42" s="244" t="s">
        <v>144</v>
      </c>
      <c r="W42" s="236"/>
      <c r="X42" s="236">
        <v>0.1</v>
      </c>
      <c r="Y42" s="236">
        <v>2.9000000000000001E-2</v>
      </c>
      <c r="Z42" s="245">
        <v>34.179000000000002</v>
      </c>
      <c r="AA42" s="246">
        <v>13</v>
      </c>
    </row>
    <row r="43" spans="1:27" x14ac:dyDescent="0.25">
      <c r="A43" s="396"/>
      <c r="B43" s="229" t="s">
        <v>143</v>
      </c>
      <c r="C43" s="230">
        <v>19</v>
      </c>
      <c r="D43" s="231" t="s">
        <v>232</v>
      </c>
      <c r="E43" s="237">
        <v>19.600000000000001</v>
      </c>
      <c r="F43" s="233">
        <v>1.9590000000000001</v>
      </c>
      <c r="G43" s="234">
        <v>1.6379999999999999</v>
      </c>
      <c r="H43" s="235">
        <v>1.0229999999999999</v>
      </c>
      <c r="I43" s="236">
        <v>2.6619999999999999</v>
      </c>
      <c r="J43" s="229">
        <v>38.5</v>
      </c>
      <c r="K43" s="236">
        <v>0.625</v>
      </c>
      <c r="L43" s="238">
        <v>83.5</v>
      </c>
      <c r="M43" s="239" t="s">
        <v>144</v>
      </c>
      <c r="N43" s="240" t="s">
        <v>144</v>
      </c>
      <c r="O43" s="241" t="s">
        <v>144</v>
      </c>
      <c r="P43" s="229" t="s">
        <v>144</v>
      </c>
      <c r="Q43" s="242"/>
      <c r="R43" s="243"/>
      <c r="S43" s="243">
        <v>100</v>
      </c>
      <c r="T43" s="243">
        <v>66</v>
      </c>
      <c r="U43" s="243">
        <v>6</v>
      </c>
      <c r="V43" s="244" t="s">
        <v>144</v>
      </c>
      <c r="W43" s="236"/>
      <c r="X43" s="236"/>
      <c r="Y43" s="236"/>
      <c r="Z43" s="245"/>
      <c r="AA43" s="246">
        <v>20</v>
      </c>
    </row>
    <row r="44" spans="1:27" x14ac:dyDescent="0.25">
      <c r="A44" s="396"/>
      <c r="B44" s="229" t="s">
        <v>143</v>
      </c>
      <c r="C44" s="230">
        <v>20</v>
      </c>
      <c r="D44" s="231" t="s">
        <v>233</v>
      </c>
      <c r="E44" s="237">
        <v>20.8</v>
      </c>
      <c r="F44" s="233">
        <v>1.9410000000000001</v>
      </c>
      <c r="G44" s="234">
        <v>1.607</v>
      </c>
      <c r="H44" s="235">
        <v>1.004</v>
      </c>
      <c r="I44" s="236">
        <v>2.6629999999999998</v>
      </c>
      <c r="J44" s="229">
        <v>39.700000000000003</v>
      </c>
      <c r="K44" s="236">
        <v>0.65700000000000003</v>
      </c>
      <c r="L44" s="238">
        <v>84.3</v>
      </c>
      <c r="M44" s="239" t="s">
        <v>144</v>
      </c>
      <c r="N44" s="240" t="s">
        <v>144</v>
      </c>
      <c r="O44" s="241" t="s">
        <v>144</v>
      </c>
      <c r="P44" s="229" t="s">
        <v>144</v>
      </c>
      <c r="Q44" s="242"/>
      <c r="R44" s="243"/>
      <c r="S44" s="243">
        <v>100</v>
      </c>
      <c r="T44" s="243">
        <v>76</v>
      </c>
      <c r="U44" s="243">
        <v>11</v>
      </c>
      <c r="V44" s="244" t="s">
        <v>144</v>
      </c>
      <c r="W44" s="236"/>
      <c r="X44" s="236"/>
      <c r="Y44" s="236"/>
      <c r="Z44" s="245"/>
      <c r="AA44" s="246">
        <v>15</v>
      </c>
    </row>
    <row r="45" spans="1:27" x14ac:dyDescent="0.25">
      <c r="A45" s="396"/>
      <c r="B45" s="229" t="s">
        <v>143</v>
      </c>
      <c r="C45" s="230">
        <v>21</v>
      </c>
      <c r="D45" s="231" t="s">
        <v>234</v>
      </c>
      <c r="E45" s="237">
        <v>20.100000000000001</v>
      </c>
      <c r="F45" s="233">
        <v>1.9490000000000001</v>
      </c>
      <c r="G45" s="234">
        <v>1.623</v>
      </c>
      <c r="H45" s="235">
        <v>1.014</v>
      </c>
      <c r="I45" s="236">
        <v>2.6629999999999998</v>
      </c>
      <c r="J45" s="229">
        <v>39.1</v>
      </c>
      <c r="K45" s="236">
        <v>0.64100000000000001</v>
      </c>
      <c r="L45" s="238">
        <v>83.5</v>
      </c>
      <c r="M45" s="239" t="s">
        <v>144</v>
      </c>
      <c r="N45" s="240" t="s">
        <v>144</v>
      </c>
      <c r="O45" s="241" t="s">
        <v>144</v>
      </c>
      <c r="P45" s="229" t="s">
        <v>144</v>
      </c>
      <c r="Q45" s="242"/>
      <c r="R45" s="243"/>
      <c r="S45" s="243">
        <v>100</v>
      </c>
      <c r="T45" s="243">
        <v>84</v>
      </c>
      <c r="U45" s="243">
        <v>18</v>
      </c>
      <c r="V45" s="244" t="s">
        <v>144</v>
      </c>
      <c r="W45" s="236"/>
      <c r="X45" s="236"/>
      <c r="Y45" s="236"/>
      <c r="Z45" s="245"/>
      <c r="AA45" s="246">
        <v>16</v>
      </c>
    </row>
    <row r="46" spans="1:27" x14ac:dyDescent="0.25">
      <c r="A46" s="396"/>
      <c r="B46" s="229" t="s">
        <v>143</v>
      </c>
      <c r="C46" s="230">
        <v>22</v>
      </c>
      <c r="D46" s="231" t="s">
        <v>235</v>
      </c>
      <c r="E46" s="237">
        <v>19.899999999999999</v>
      </c>
      <c r="F46" s="233">
        <v>1.954</v>
      </c>
      <c r="G46" s="234">
        <v>1.63</v>
      </c>
      <c r="H46" s="235">
        <v>1.018</v>
      </c>
      <c r="I46" s="236">
        <v>2.6629999999999998</v>
      </c>
      <c r="J46" s="229">
        <v>38.799999999999997</v>
      </c>
      <c r="K46" s="236">
        <v>0.63400000000000001</v>
      </c>
      <c r="L46" s="238">
        <v>83.6</v>
      </c>
      <c r="M46" s="239" t="s">
        <v>144</v>
      </c>
      <c r="N46" s="240" t="s">
        <v>144</v>
      </c>
      <c r="O46" s="241" t="s">
        <v>144</v>
      </c>
      <c r="P46" s="229" t="s">
        <v>144</v>
      </c>
      <c r="Q46" s="242"/>
      <c r="R46" s="243"/>
      <c r="S46" s="243">
        <v>100</v>
      </c>
      <c r="T46" s="243">
        <v>87</v>
      </c>
      <c r="U46" s="243">
        <v>15</v>
      </c>
      <c r="V46" s="244" t="s">
        <v>144</v>
      </c>
      <c r="W46" s="236"/>
      <c r="X46" s="236"/>
      <c r="Y46" s="236"/>
      <c r="Z46" s="245"/>
      <c r="AA46" s="246">
        <v>17</v>
      </c>
    </row>
    <row r="47" spans="1:27" x14ac:dyDescent="0.25">
      <c r="A47" s="396"/>
      <c r="B47" s="229" t="s">
        <v>143</v>
      </c>
      <c r="C47" s="230">
        <v>23</v>
      </c>
      <c r="D47" s="231" t="s">
        <v>236</v>
      </c>
      <c r="E47" s="237">
        <v>19.399999999999999</v>
      </c>
      <c r="F47" s="233">
        <v>1.962</v>
      </c>
      <c r="G47" s="234">
        <v>1.643</v>
      </c>
      <c r="H47" s="235">
        <v>1.026</v>
      </c>
      <c r="I47" s="236">
        <v>2.6619999999999999</v>
      </c>
      <c r="J47" s="229">
        <v>38.299999999999997</v>
      </c>
      <c r="K47" s="236">
        <v>0.62</v>
      </c>
      <c r="L47" s="238">
        <v>83.3</v>
      </c>
      <c r="M47" s="239" t="s">
        <v>144</v>
      </c>
      <c r="N47" s="240" t="s">
        <v>144</v>
      </c>
      <c r="O47" s="241" t="s">
        <v>144</v>
      </c>
      <c r="P47" s="229" t="s">
        <v>144</v>
      </c>
      <c r="Q47" s="242"/>
      <c r="R47" s="243"/>
      <c r="S47" s="243">
        <v>100</v>
      </c>
      <c r="T47" s="243">
        <v>84</v>
      </c>
      <c r="U47" s="243">
        <v>10</v>
      </c>
      <c r="V47" s="244" t="s">
        <v>144</v>
      </c>
      <c r="W47" s="236"/>
      <c r="X47" s="236"/>
      <c r="Y47" s="236"/>
      <c r="Z47" s="245"/>
      <c r="AA47" s="246">
        <v>21</v>
      </c>
    </row>
    <row r="48" spans="1:27" ht="15.75" thickBot="1" x14ac:dyDescent="0.3">
      <c r="A48" s="397"/>
      <c r="B48" s="229" t="s">
        <v>143</v>
      </c>
      <c r="C48" s="250">
        <v>24</v>
      </c>
      <c r="D48" s="251" t="s">
        <v>237</v>
      </c>
      <c r="E48" s="252">
        <v>19.2</v>
      </c>
      <c r="F48" s="253">
        <v>1.966</v>
      </c>
      <c r="G48" s="254">
        <v>1.649</v>
      </c>
      <c r="H48" s="255">
        <v>1.0289999999999999</v>
      </c>
      <c r="I48" s="256">
        <v>2.661</v>
      </c>
      <c r="J48" s="261">
        <v>38</v>
      </c>
      <c r="K48" s="256">
        <v>0.61399999999999999</v>
      </c>
      <c r="L48" s="271">
        <v>83.3</v>
      </c>
      <c r="M48" s="258" t="s">
        <v>144</v>
      </c>
      <c r="N48" s="259" t="s">
        <v>144</v>
      </c>
      <c r="O48" s="260" t="s">
        <v>144</v>
      </c>
      <c r="P48" s="261" t="s">
        <v>144</v>
      </c>
      <c r="Q48" s="262"/>
      <c r="R48" s="263"/>
      <c r="S48" s="263">
        <v>100</v>
      </c>
      <c r="T48" s="263">
        <v>82</v>
      </c>
      <c r="U48" s="263">
        <v>7</v>
      </c>
      <c r="V48" s="264" t="s">
        <v>144</v>
      </c>
      <c r="W48" s="256"/>
      <c r="X48" s="256"/>
      <c r="Y48" s="256"/>
      <c r="Z48" s="265"/>
      <c r="AA48" s="266">
        <v>25</v>
      </c>
    </row>
    <row r="49" spans="1:27" x14ac:dyDescent="0.25">
      <c r="A49" s="395">
        <v>3</v>
      </c>
      <c r="B49" s="229">
        <v>1</v>
      </c>
      <c r="C49" s="212">
        <v>1</v>
      </c>
      <c r="D49" s="213" t="s">
        <v>238</v>
      </c>
      <c r="E49" s="219">
        <v>28.8</v>
      </c>
      <c r="F49" s="215">
        <v>1.8320000000000001</v>
      </c>
      <c r="G49" s="216">
        <v>1.4219999999999999</v>
      </c>
      <c r="H49" s="217">
        <v>0.88900000000000001</v>
      </c>
      <c r="I49" s="218">
        <v>2.6680000000000001</v>
      </c>
      <c r="J49" s="211">
        <v>46.7</v>
      </c>
      <c r="K49" s="218">
        <v>0.876</v>
      </c>
      <c r="L49" s="220">
        <v>87.7</v>
      </c>
      <c r="M49" s="267" t="s">
        <v>144</v>
      </c>
      <c r="N49" s="268" t="s">
        <v>144</v>
      </c>
      <c r="O49" s="269" t="s">
        <v>144</v>
      </c>
      <c r="P49" s="219" t="s">
        <v>144</v>
      </c>
      <c r="Q49" s="224"/>
      <c r="R49" s="225"/>
      <c r="S49" s="225">
        <v>100</v>
      </c>
      <c r="T49" s="225">
        <v>74</v>
      </c>
      <c r="U49" s="225">
        <v>3</v>
      </c>
      <c r="V49" s="226" t="s">
        <v>144</v>
      </c>
      <c r="W49" s="218"/>
      <c r="X49" s="218"/>
      <c r="Y49" s="218"/>
      <c r="Z49" s="227"/>
      <c r="AA49" s="270">
        <v>2</v>
      </c>
    </row>
    <row r="50" spans="1:27" x14ac:dyDescent="0.25">
      <c r="A50" s="396"/>
      <c r="B50" s="229">
        <v>2</v>
      </c>
      <c r="C50" s="230">
        <v>2</v>
      </c>
      <c r="D50" s="231" t="s">
        <v>239</v>
      </c>
      <c r="E50" s="237">
        <v>90.1</v>
      </c>
      <c r="F50" s="233">
        <v>1.4390000000000001</v>
      </c>
      <c r="G50" s="234">
        <v>0.75700000000000001</v>
      </c>
      <c r="H50" s="235">
        <v>0.46600000000000003</v>
      </c>
      <c r="I50" s="236">
        <v>2.6030000000000002</v>
      </c>
      <c r="J50" s="229">
        <v>70.900000000000006</v>
      </c>
      <c r="K50" s="236">
        <v>2.4390000000000001</v>
      </c>
      <c r="L50" s="238">
        <v>96.2</v>
      </c>
      <c r="M50" s="247">
        <v>71.2</v>
      </c>
      <c r="N50" s="248">
        <v>36.5</v>
      </c>
      <c r="O50" s="249">
        <v>34.700000000000003</v>
      </c>
      <c r="P50" s="237">
        <v>1.54</v>
      </c>
      <c r="Q50" s="242"/>
      <c r="R50" s="243"/>
      <c r="S50" s="243">
        <v>100</v>
      </c>
      <c r="T50" s="243">
        <v>97</v>
      </c>
      <c r="U50" s="243">
        <v>83</v>
      </c>
      <c r="V50" s="244">
        <v>35</v>
      </c>
      <c r="W50" s="236"/>
      <c r="X50" s="236">
        <v>1.0209999999999999</v>
      </c>
      <c r="Y50" s="236">
        <v>0.29599999999999999</v>
      </c>
      <c r="Z50" s="245">
        <v>7.7809999999999997</v>
      </c>
      <c r="AA50" s="246">
        <v>0</v>
      </c>
    </row>
    <row r="51" spans="1:27" x14ac:dyDescent="0.25">
      <c r="A51" s="396"/>
      <c r="B51" s="229">
        <v>2</v>
      </c>
      <c r="C51" s="230">
        <v>3</v>
      </c>
      <c r="D51" s="231" t="s">
        <v>240</v>
      </c>
      <c r="E51" s="237">
        <v>93.3</v>
      </c>
      <c r="F51" s="233">
        <v>1.4359999999999999</v>
      </c>
      <c r="G51" s="234">
        <v>0.74299999999999999</v>
      </c>
      <c r="H51" s="235">
        <v>0.45800000000000002</v>
      </c>
      <c r="I51" s="236">
        <v>2.6030000000000002</v>
      </c>
      <c r="J51" s="229">
        <v>71.5</v>
      </c>
      <c r="K51" s="236">
        <v>2.5030000000000001</v>
      </c>
      <c r="L51" s="238">
        <v>97</v>
      </c>
      <c r="M51" s="247">
        <v>73.400000000000006</v>
      </c>
      <c r="N51" s="248">
        <v>37.799999999999997</v>
      </c>
      <c r="O51" s="249">
        <v>35.6</v>
      </c>
      <c r="P51" s="237">
        <v>1.56</v>
      </c>
      <c r="Q51" s="242"/>
      <c r="R51" s="243"/>
      <c r="S51" s="243">
        <v>100</v>
      </c>
      <c r="T51" s="243">
        <v>98</v>
      </c>
      <c r="U51" s="243">
        <v>85</v>
      </c>
      <c r="V51" s="244">
        <v>37</v>
      </c>
      <c r="W51" s="236"/>
      <c r="X51" s="236"/>
      <c r="Y51" s="236"/>
      <c r="Z51" s="245"/>
      <c r="AA51" s="246">
        <v>0</v>
      </c>
    </row>
    <row r="52" spans="1:27" x14ac:dyDescent="0.25">
      <c r="A52" s="396"/>
      <c r="B52" s="229">
        <v>2</v>
      </c>
      <c r="C52" s="230">
        <v>4</v>
      </c>
      <c r="D52" s="231" t="s">
        <v>241</v>
      </c>
      <c r="E52" s="237">
        <v>91.3</v>
      </c>
      <c r="F52" s="233">
        <v>1.448</v>
      </c>
      <c r="G52" s="234">
        <v>0.75700000000000001</v>
      </c>
      <c r="H52" s="235">
        <v>0.46600000000000003</v>
      </c>
      <c r="I52" s="236">
        <v>2.6030000000000002</v>
      </c>
      <c r="J52" s="229">
        <v>70.900000000000006</v>
      </c>
      <c r="K52" s="236">
        <v>2.4390000000000001</v>
      </c>
      <c r="L52" s="238">
        <v>97.5</v>
      </c>
      <c r="M52" s="247">
        <v>74.900000000000006</v>
      </c>
      <c r="N52" s="248">
        <v>38.4</v>
      </c>
      <c r="O52" s="249">
        <v>36.5</v>
      </c>
      <c r="P52" s="237">
        <v>1.45</v>
      </c>
      <c r="Q52" s="242"/>
      <c r="R52" s="243"/>
      <c r="S52" s="243">
        <v>100</v>
      </c>
      <c r="T52" s="243">
        <v>98</v>
      </c>
      <c r="U52" s="243">
        <v>86</v>
      </c>
      <c r="V52" s="244">
        <v>38</v>
      </c>
      <c r="W52" s="236"/>
      <c r="X52" s="236"/>
      <c r="Y52" s="236"/>
      <c r="Z52" s="245"/>
      <c r="AA52" s="246">
        <v>0</v>
      </c>
    </row>
    <row r="53" spans="1:27" x14ac:dyDescent="0.25">
      <c r="A53" s="396"/>
      <c r="B53" s="229">
        <v>2</v>
      </c>
      <c r="C53" s="230">
        <v>5</v>
      </c>
      <c r="D53" s="231" t="s">
        <v>242</v>
      </c>
      <c r="E53" s="237">
        <v>84.7</v>
      </c>
      <c r="F53" s="233">
        <v>1.4550000000000001</v>
      </c>
      <c r="G53" s="234">
        <v>0.78800000000000003</v>
      </c>
      <c r="H53" s="235">
        <v>0.48499999999999999</v>
      </c>
      <c r="I53" s="236">
        <v>2.6040000000000001</v>
      </c>
      <c r="J53" s="229">
        <v>69.7</v>
      </c>
      <c r="K53" s="236">
        <v>2.3050000000000002</v>
      </c>
      <c r="L53" s="238">
        <v>95.7</v>
      </c>
      <c r="M53" s="247">
        <v>72.8</v>
      </c>
      <c r="N53" s="248">
        <v>37.5</v>
      </c>
      <c r="O53" s="249">
        <v>35.299999999999997</v>
      </c>
      <c r="P53" s="237">
        <v>1.34</v>
      </c>
      <c r="Q53" s="242"/>
      <c r="R53" s="243"/>
      <c r="S53" s="243">
        <v>100</v>
      </c>
      <c r="T53" s="243">
        <v>97</v>
      </c>
      <c r="U53" s="243">
        <v>84</v>
      </c>
      <c r="V53" s="244">
        <v>35</v>
      </c>
      <c r="W53" s="236">
        <v>0.152</v>
      </c>
      <c r="X53" s="236"/>
      <c r="Y53" s="236"/>
      <c r="Z53" s="245"/>
      <c r="AA53" s="246">
        <v>0</v>
      </c>
    </row>
    <row r="54" spans="1:27" x14ac:dyDescent="0.25">
      <c r="A54" s="396"/>
      <c r="B54" s="229">
        <v>2</v>
      </c>
      <c r="C54" s="230">
        <v>6</v>
      </c>
      <c r="D54" s="231" t="s">
        <v>243</v>
      </c>
      <c r="E54" s="237">
        <v>79.8</v>
      </c>
      <c r="F54" s="233">
        <v>1.4470000000000001</v>
      </c>
      <c r="G54" s="234">
        <v>0.80500000000000005</v>
      </c>
      <c r="H54" s="235">
        <v>0.496</v>
      </c>
      <c r="I54" s="236">
        <v>2.605</v>
      </c>
      <c r="J54" s="229">
        <v>69.099999999999994</v>
      </c>
      <c r="K54" s="236">
        <v>2.2360000000000002</v>
      </c>
      <c r="L54" s="238">
        <v>93</v>
      </c>
      <c r="M54" s="247">
        <v>69.2</v>
      </c>
      <c r="N54" s="248">
        <v>36.9</v>
      </c>
      <c r="O54" s="249">
        <v>33.5</v>
      </c>
      <c r="P54" s="237">
        <v>1.28</v>
      </c>
      <c r="Q54" s="242"/>
      <c r="R54" s="243"/>
      <c r="S54" s="243">
        <v>100</v>
      </c>
      <c r="T54" s="243">
        <v>96</v>
      </c>
      <c r="U54" s="243">
        <v>82</v>
      </c>
      <c r="V54" s="244">
        <v>33</v>
      </c>
      <c r="W54" s="236"/>
      <c r="X54" s="236"/>
      <c r="Y54" s="236"/>
      <c r="Z54" s="245"/>
      <c r="AA54" s="246">
        <v>1</v>
      </c>
    </row>
    <row r="55" spans="1:27" x14ac:dyDescent="0.25">
      <c r="A55" s="396"/>
      <c r="B55" s="229">
        <v>2</v>
      </c>
      <c r="C55" s="230">
        <v>7</v>
      </c>
      <c r="D55" s="231" t="s">
        <v>244</v>
      </c>
      <c r="E55" s="237">
        <v>68.099999999999994</v>
      </c>
      <c r="F55" s="233">
        <v>1.5009999999999999</v>
      </c>
      <c r="G55" s="234">
        <v>0.89300000000000002</v>
      </c>
      <c r="H55" s="235">
        <v>0.55000000000000004</v>
      </c>
      <c r="I55" s="236">
        <v>2.6070000000000002</v>
      </c>
      <c r="J55" s="229">
        <v>65.7</v>
      </c>
      <c r="K55" s="236">
        <v>1.919</v>
      </c>
      <c r="L55" s="238">
        <v>92.5</v>
      </c>
      <c r="M55" s="247">
        <v>63.4</v>
      </c>
      <c r="N55" s="248">
        <v>32.299999999999997</v>
      </c>
      <c r="O55" s="249">
        <v>31.1</v>
      </c>
      <c r="P55" s="237">
        <v>1.1499999999999999</v>
      </c>
      <c r="Q55" s="242"/>
      <c r="R55" s="243"/>
      <c r="S55" s="243">
        <v>100</v>
      </c>
      <c r="T55" s="243">
        <v>96</v>
      </c>
      <c r="U55" s="243">
        <v>81</v>
      </c>
      <c r="V55" s="244">
        <v>31</v>
      </c>
      <c r="W55" s="236">
        <v>0.217</v>
      </c>
      <c r="X55" s="236">
        <v>0.71499999999999997</v>
      </c>
      <c r="Y55" s="236">
        <v>0.20699999999999999</v>
      </c>
      <c r="Z55" s="245">
        <v>9.6530000000000005</v>
      </c>
      <c r="AA55" s="246">
        <v>1</v>
      </c>
    </row>
    <row r="56" spans="1:27" x14ac:dyDescent="0.25">
      <c r="A56" s="396"/>
      <c r="B56" s="229">
        <v>2</v>
      </c>
      <c r="C56" s="230">
        <v>8</v>
      </c>
      <c r="D56" s="231" t="s">
        <v>245</v>
      </c>
      <c r="E56" s="237">
        <v>61.7</v>
      </c>
      <c r="F56" s="233">
        <v>1.5329999999999999</v>
      </c>
      <c r="G56" s="234">
        <v>0.94799999999999995</v>
      </c>
      <c r="H56" s="235">
        <v>0.58499999999999996</v>
      </c>
      <c r="I56" s="236">
        <v>2.6120000000000001</v>
      </c>
      <c r="J56" s="229">
        <v>63.7</v>
      </c>
      <c r="K56" s="236">
        <v>1.7549999999999999</v>
      </c>
      <c r="L56" s="238">
        <v>91.8</v>
      </c>
      <c r="M56" s="247">
        <v>60.1</v>
      </c>
      <c r="N56" s="248">
        <v>30.6</v>
      </c>
      <c r="O56" s="249">
        <v>29.5</v>
      </c>
      <c r="P56" s="237">
        <v>1.05</v>
      </c>
      <c r="Q56" s="242"/>
      <c r="R56" s="243"/>
      <c r="S56" s="243">
        <v>100</v>
      </c>
      <c r="T56" s="243">
        <v>94</v>
      </c>
      <c r="U56" s="243">
        <v>79</v>
      </c>
      <c r="V56" s="244">
        <v>28</v>
      </c>
      <c r="W56" s="236"/>
      <c r="X56" s="236"/>
      <c r="Y56" s="236"/>
      <c r="Z56" s="245"/>
      <c r="AA56" s="246">
        <v>1</v>
      </c>
    </row>
    <row r="57" spans="1:27" x14ac:dyDescent="0.25">
      <c r="A57" s="396"/>
      <c r="B57" s="229" t="s">
        <v>230</v>
      </c>
      <c r="C57" s="230">
        <v>9</v>
      </c>
      <c r="D57" s="231" t="s">
        <v>246</v>
      </c>
      <c r="E57" s="237">
        <v>22.8</v>
      </c>
      <c r="F57" s="233">
        <v>1.903</v>
      </c>
      <c r="G57" s="234">
        <v>1.55</v>
      </c>
      <c r="H57" s="235">
        <v>0.96799999999999997</v>
      </c>
      <c r="I57" s="236">
        <v>2.6640000000000001</v>
      </c>
      <c r="J57" s="229">
        <v>41.8</v>
      </c>
      <c r="K57" s="236">
        <v>0.71899999999999997</v>
      </c>
      <c r="L57" s="238">
        <v>84.5</v>
      </c>
      <c r="M57" s="247" t="s">
        <v>144</v>
      </c>
      <c r="N57" s="248" t="s">
        <v>144</v>
      </c>
      <c r="O57" s="249" t="s">
        <v>144</v>
      </c>
      <c r="P57" s="237" t="s">
        <v>144</v>
      </c>
      <c r="Q57" s="242"/>
      <c r="R57" s="243"/>
      <c r="S57" s="243">
        <v>100</v>
      </c>
      <c r="T57" s="243">
        <v>84</v>
      </c>
      <c r="U57" s="243">
        <v>12</v>
      </c>
      <c r="V57" s="244" t="s">
        <v>144</v>
      </c>
      <c r="W57" s="236"/>
      <c r="X57" s="236"/>
      <c r="Y57" s="236"/>
      <c r="Z57" s="245"/>
      <c r="AA57" s="246">
        <v>12</v>
      </c>
    </row>
    <row r="58" spans="1:27" x14ac:dyDescent="0.25">
      <c r="A58" s="396"/>
      <c r="B58" s="229" t="s">
        <v>230</v>
      </c>
      <c r="C58" s="230">
        <v>10</v>
      </c>
      <c r="D58" s="231" t="s">
        <v>247</v>
      </c>
      <c r="E58" s="237">
        <v>24.1</v>
      </c>
      <c r="F58" s="233">
        <v>1.893</v>
      </c>
      <c r="G58" s="234">
        <v>1.5249999999999999</v>
      </c>
      <c r="H58" s="235">
        <v>0.95299999999999996</v>
      </c>
      <c r="I58" s="236">
        <v>2.665</v>
      </c>
      <c r="J58" s="229">
        <v>42.8</v>
      </c>
      <c r="K58" s="236">
        <v>0.748</v>
      </c>
      <c r="L58" s="238">
        <v>85.9</v>
      </c>
      <c r="M58" s="247" t="s">
        <v>144</v>
      </c>
      <c r="N58" s="248" t="s">
        <v>144</v>
      </c>
      <c r="O58" s="249" t="s">
        <v>144</v>
      </c>
      <c r="P58" s="237" t="s">
        <v>144</v>
      </c>
      <c r="Q58" s="242"/>
      <c r="R58" s="243"/>
      <c r="S58" s="243">
        <v>100</v>
      </c>
      <c r="T58" s="243">
        <v>82</v>
      </c>
      <c r="U58" s="243">
        <v>11</v>
      </c>
      <c r="V58" s="244" t="s">
        <v>144</v>
      </c>
      <c r="W58" s="236"/>
      <c r="X58" s="236">
        <v>0.11</v>
      </c>
      <c r="Y58" s="236">
        <v>3.2000000000000001E-2</v>
      </c>
      <c r="Z58" s="245">
        <v>31.9</v>
      </c>
      <c r="AA58" s="246">
        <v>10</v>
      </c>
    </row>
    <row r="59" spans="1:27" x14ac:dyDescent="0.25">
      <c r="A59" s="396"/>
      <c r="B59" s="229" t="s">
        <v>227</v>
      </c>
      <c r="C59" s="230">
        <v>11</v>
      </c>
      <c r="D59" s="231" t="s">
        <v>248</v>
      </c>
      <c r="E59" s="237">
        <v>28.2</v>
      </c>
      <c r="F59" s="233">
        <v>1.833</v>
      </c>
      <c r="G59" s="234">
        <v>1.43</v>
      </c>
      <c r="H59" s="235">
        <v>0.89400000000000002</v>
      </c>
      <c r="I59" s="236">
        <v>2.6669999999999998</v>
      </c>
      <c r="J59" s="229">
        <v>46.4</v>
      </c>
      <c r="K59" s="236">
        <v>0.86499999999999999</v>
      </c>
      <c r="L59" s="238">
        <v>86.9</v>
      </c>
      <c r="M59" s="247" t="s">
        <v>144</v>
      </c>
      <c r="N59" s="248" t="s">
        <v>144</v>
      </c>
      <c r="O59" s="249" t="s">
        <v>144</v>
      </c>
      <c r="P59" s="237" t="s">
        <v>144</v>
      </c>
      <c r="Q59" s="242"/>
      <c r="R59" s="243">
        <v>100</v>
      </c>
      <c r="S59" s="243">
        <v>98</v>
      </c>
      <c r="T59" s="243">
        <v>85</v>
      </c>
      <c r="U59" s="243">
        <v>17</v>
      </c>
      <c r="V59" s="244" t="s">
        <v>144</v>
      </c>
      <c r="W59" s="236"/>
      <c r="X59" s="236"/>
      <c r="Y59" s="236"/>
      <c r="Z59" s="245"/>
      <c r="AA59" s="246">
        <v>4</v>
      </c>
    </row>
    <row r="60" spans="1:27" x14ac:dyDescent="0.25">
      <c r="A60" s="396"/>
      <c r="B60" s="229">
        <v>4</v>
      </c>
      <c r="C60" s="230">
        <v>12</v>
      </c>
      <c r="D60" s="231" t="s">
        <v>249</v>
      </c>
      <c r="E60" s="237">
        <v>24.4</v>
      </c>
      <c r="F60" s="233">
        <v>1.9670000000000001</v>
      </c>
      <c r="G60" s="234">
        <v>1.581</v>
      </c>
      <c r="H60" s="235">
        <v>0.99199999999999999</v>
      </c>
      <c r="I60" s="236">
        <v>2.6840000000000002</v>
      </c>
      <c r="J60" s="229">
        <v>41.1</v>
      </c>
      <c r="K60" s="236">
        <v>0.69799999999999995</v>
      </c>
      <c r="L60" s="238">
        <v>93.9</v>
      </c>
      <c r="M60" s="247">
        <v>44.5</v>
      </c>
      <c r="N60" s="248">
        <v>20</v>
      </c>
      <c r="O60" s="249">
        <v>24.5</v>
      </c>
      <c r="P60" s="237">
        <v>0.18</v>
      </c>
      <c r="Q60" s="242"/>
      <c r="R60" s="243"/>
      <c r="S60" s="243">
        <v>100</v>
      </c>
      <c r="T60" s="243">
        <v>95</v>
      </c>
      <c r="U60" s="243">
        <v>79</v>
      </c>
      <c r="V60" s="244">
        <v>25</v>
      </c>
      <c r="W60" s="236"/>
      <c r="X60" s="236"/>
      <c r="Y60" s="236"/>
      <c r="Z60" s="245"/>
      <c r="AA60" s="246">
        <v>20</v>
      </c>
    </row>
    <row r="61" spans="1:27" x14ac:dyDescent="0.25">
      <c r="A61" s="396"/>
      <c r="B61" s="229" t="s">
        <v>143</v>
      </c>
      <c r="C61" s="230">
        <v>13</v>
      </c>
      <c r="D61" s="231" t="s">
        <v>250</v>
      </c>
      <c r="E61" s="237">
        <v>23.8</v>
      </c>
      <c r="F61" s="233">
        <v>1.895</v>
      </c>
      <c r="G61" s="234">
        <v>1.5309999999999999</v>
      </c>
      <c r="H61" s="235">
        <v>0.97499999999999998</v>
      </c>
      <c r="I61" s="236">
        <v>2.665</v>
      </c>
      <c r="J61" s="229">
        <v>42.6</v>
      </c>
      <c r="K61" s="236">
        <v>0.74099999999999999</v>
      </c>
      <c r="L61" s="238">
        <v>85.6</v>
      </c>
      <c r="M61" s="247" t="s">
        <v>144</v>
      </c>
      <c r="N61" s="248" t="s">
        <v>144</v>
      </c>
      <c r="O61" s="249" t="s">
        <v>144</v>
      </c>
      <c r="P61" s="237" t="s">
        <v>144</v>
      </c>
      <c r="Q61" s="242"/>
      <c r="R61" s="243"/>
      <c r="S61" s="243">
        <v>100</v>
      </c>
      <c r="T61" s="243">
        <v>78</v>
      </c>
      <c r="U61" s="243">
        <v>19</v>
      </c>
      <c r="V61" s="244" t="s">
        <v>144</v>
      </c>
      <c r="W61" s="236"/>
      <c r="X61" s="236"/>
      <c r="Y61" s="236"/>
      <c r="Z61" s="245"/>
      <c r="AA61" s="246">
        <v>11</v>
      </c>
    </row>
    <row r="62" spans="1:27" x14ac:dyDescent="0.25">
      <c r="A62" s="396"/>
      <c r="B62" s="229" t="s">
        <v>143</v>
      </c>
      <c r="C62" s="230">
        <v>14</v>
      </c>
      <c r="D62" s="231" t="s">
        <v>251</v>
      </c>
      <c r="E62" s="237">
        <v>23.1</v>
      </c>
      <c r="F62" s="233">
        <v>1.899</v>
      </c>
      <c r="G62" s="234">
        <v>1.5429999999999999</v>
      </c>
      <c r="H62" s="235">
        <v>0.96399999999999997</v>
      </c>
      <c r="I62" s="236">
        <v>2.6640000000000001</v>
      </c>
      <c r="J62" s="229">
        <v>42.1</v>
      </c>
      <c r="K62" s="236">
        <v>0.72699999999999998</v>
      </c>
      <c r="L62" s="238">
        <v>84.7</v>
      </c>
      <c r="M62" s="247" t="s">
        <v>144</v>
      </c>
      <c r="N62" s="248" t="s">
        <v>144</v>
      </c>
      <c r="O62" s="249" t="s">
        <v>144</v>
      </c>
      <c r="P62" s="237" t="s">
        <v>144</v>
      </c>
      <c r="Q62" s="242"/>
      <c r="R62" s="243"/>
      <c r="S62" s="243">
        <v>100</v>
      </c>
      <c r="T62" s="243">
        <v>64</v>
      </c>
      <c r="U62" s="243">
        <v>11</v>
      </c>
      <c r="V62" s="244" t="s">
        <v>144</v>
      </c>
      <c r="W62" s="236"/>
      <c r="X62" s="236">
        <v>0.107</v>
      </c>
      <c r="Y62" s="236">
        <v>3.1E-2</v>
      </c>
      <c r="Z62" s="245">
        <v>32.348999999999997</v>
      </c>
      <c r="AA62" s="246">
        <v>12</v>
      </c>
    </row>
    <row r="63" spans="1:27" x14ac:dyDescent="0.25">
      <c r="A63" s="396"/>
      <c r="B63" s="229" t="s">
        <v>143</v>
      </c>
      <c r="C63" s="230">
        <v>15</v>
      </c>
      <c r="D63" s="231" t="s">
        <v>252</v>
      </c>
      <c r="E63" s="237">
        <v>23.4</v>
      </c>
      <c r="F63" s="233">
        <v>1.8919999999999999</v>
      </c>
      <c r="G63" s="234">
        <v>1.5329999999999999</v>
      </c>
      <c r="H63" s="235">
        <v>0.95799999999999996</v>
      </c>
      <c r="I63" s="236">
        <v>2.665</v>
      </c>
      <c r="J63" s="229">
        <v>42.5</v>
      </c>
      <c r="K63" s="236">
        <v>0.73799999999999999</v>
      </c>
      <c r="L63" s="238">
        <v>84.5</v>
      </c>
      <c r="M63" s="247" t="s">
        <v>144</v>
      </c>
      <c r="N63" s="248" t="s">
        <v>144</v>
      </c>
      <c r="O63" s="249" t="s">
        <v>144</v>
      </c>
      <c r="P63" s="237" t="s">
        <v>144</v>
      </c>
      <c r="Q63" s="242"/>
      <c r="R63" s="243"/>
      <c r="S63" s="243">
        <v>100</v>
      </c>
      <c r="T63" s="243">
        <v>73</v>
      </c>
      <c r="U63" s="243">
        <v>14</v>
      </c>
      <c r="V63" s="244" t="s">
        <v>144</v>
      </c>
      <c r="W63" s="236"/>
      <c r="X63" s="236"/>
      <c r="Y63" s="236"/>
      <c r="Z63" s="245"/>
      <c r="AA63" s="246">
        <v>11</v>
      </c>
    </row>
    <row r="64" spans="1:27" x14ac:dyDescent="0.25">
      <c r="A64" s="396"/>
      <c r="B64" s="229" t="s">
        <v>145</v>
      </c>
      <c r="C64" s="230">
        <v>16</v>
      </c>
      <c r="D64" s="231" t="s">
        <v>253</v>
      </c>
      <c r="E64" s="237">
        <v>26.3</v>
      </c>
      <c r="F64" s="233">
        <v>1.85</v>
      </c>
      <c r="G64" s="234">
        <v>1.4650000000000001</v>
      </c>
      <c r="H64" s="235">
        <v>0.91600000000000004</v>
      </c>
      <c r="I64" s="236">
        <v>2.6669999999999998</v>
      </c>
      <c r="J64" s="229">
        <v>45.1</v>
      </c>
      <c r="K64" s="236">
        <v>0.82</v>
      </c>
      <c r="L64" s="238">
        <v>85.5</v>
      </c>
      <c r="M64" s="247" t="s">
        <v>144</v>
      </c>
      <c r="N64" s="248" t="s">
        <v>144</v>
      </c>
      <c r="O64" s="249" t="s">
        <v>144</v>
      </c>
      <c r="P64" s="237" t="s">
        <v>144</v>
      </c>
      <c r="Q64" s="242"/>
      <c r="R64" s="243"/>
      <c r="S64" s="243">
        <v>100</v>
      </c>
      <c r="T64" s="243">
        <v>88</v>
      </c>
      <c r="U64" s="243">
        <v>20</v>
      </c>
      <c r="V64" s="244" t="s">
        <v>144</v>
      </c>
      <c r="W64" s="236"/>
      <c r="X64" s="236"/>
      <c r="Y64" s="236"/>
      <c r="Z64" s="245"/>
      <c r="AA64" s="246">
        <v>7</v>
      </c>
    </row>
    <row r="65" spans="1:27" x14ac:dyDescent="0.25">
      <c r="A65" s="396"/>
      <c r="B65" s="229" t="s">
        <v>145</v>
      </c>
      <c r="C65" s="230">
        <v>17</v>
      </c>
      <c r="D65" s="231" t="s">
        <v>254</v>
      </c>
      <c r="E65" s="237">
        <v>25.2</v>
      </c>
      <c r="F65" s="233">
        <v>1.859</v>
      </c>
      <c r="G65" s="234">
        <v>1.4850000000000001</v>
      </c>
      <c r="H65" s="235">
        <v>0.92800000000000005</v>
      </c>
      <c r="I65" s="236">
        <v>2.6659999999999999</v>
      </c>
      <c r="J65" s="229">
        <v>44.3</v>
      </c>
      <c r="K65" s="236">
        <v>0.79500000000000004</v>
      </c>
      <c r="L65" s="238">
        <v>84.5</v>
      </c>
      <c r="M65" s="247" t="s">
        <v>144</v>
      </c>
      <c r="N65" s="248" t="s">
        <v>144</v>
      </c>
      <c r="O65" s="249" t="s">
        <v>144</v>
      </c>
      <c r="P65" s="237" t="s">
        <v>144</v>
      </c>
      <c r="Q65" s="242"/>
      <c r="R65" s="243"/>
      <c r="S65" s="243">
        <v>100</v>
      </c>
      <c r="T65" s="243">
        <v>85</v>
      </c>
      <c r="U65" s="243">
        <v>17</v>
      </c>
      <c r="V65" s="244" t="s">
        <v>144</v>
      </c>
      <c r="W65" s="236"/>
      <c r="X65" s="236"/>
      <c r="Y65" s="236"/>
      <c r="Z65" s="245"/>
      <c r="AA65" s="246">
        <v>9</v>
      </c>
    </row>
    <row r="66" spans="1:27" x14ac:dyDescent="0.25">
      <c r="A66" s="396"/>
      <c r="B66" s="229" t="s">
        <v>145</v>
      </c>
      <c r="C66" s="230">
        <v>18</v>
      </c>
      <c r="D66" s="231" t="s">
        <v>255</v>
      </c>
      <c r="E66" s="237">
        <v>24.7</v>
      </c>
      <c r="F66" s="233">
        <v>1.8660000000000001</v>
      </c>
      <c r="G66" s="234">
        <v>1.496</v>
      </c>
      <c r="H66" s="235">
        <v>0.93500000000000005</v>
      </c>
      <c r="I66" s="236">
        <v>2.6659999999999999</v>
      </c>
      <c r="J66" s="229">
        <v>43.9</v>
      </c>
      <c r="K66" s="236">
        <v>0.78200000000000003</v>
      </c>
      <c r="L66" s="238">
        <v>84.2</v>
      </c>
      <c r="M66" s="247" t="s">
        <v>144</v>
      </c>
      <c r="N66" s="248" t="s">
        <v>144</v>
      </c>
      <c r="O66" s="249" t="s">
        <v>144</v>
      </c>
      <c r="P66" s="237" t="s">
        <v>144</v>
      </c>
      <c r="Q66" s="242"/>
      <c r="R66" s="243"/>
      <c r="S66" s="243">
        <v>100</v>
      </c>
      <c r="T66" s="243">
        <v>82</v>
      </c>
      <c r="U66" s="243">
        <v>14</v>
      </c>
      <c r="V66" s="244" t="s">
        <v>144</v>
      </c>
      <c r="W66" s="236"/>
      <c r="X66" s="236"/>
      <c r="Y66" s="236"/>
      <c r="Z66" s="245"/>
      <c r="AA66" s="246">
        <v>9</v>
      </c>
    </row>
    <row r="67" spans="1:27" x14ac:dyDescent="0.25">
      <c r="A67" s="396"/>
      <c r="B67" s="229" t="s">
        <v>143</v>
      </c>
      <c r="C67" s="230">
        <v>19</v>
      </c>
      <c r="D67" s="231" t="s">
        <v>256</v>
      </c>
      <c r="E67" s="237">
        <v>23</v>
      </c>
      <c r="F67" s="233">
        <v>1.8919999999999999</v>
      </c>
      <c r="G67" s="234">
        <v>1.538</v>
      </c>
      <c r="H67" s="235">
        <v>0.96099999999999997</v>
      </c>
      <c r="I67" s="236">
        <v>2.665</v>
      </c>
      <c r="J67" s="229">
        <v>42.3</v>
      </c>
      <c r="K67" s="236">
        <v>0.73299999999999998</v>
      </c>
      <c r="L67" s="238">
        <v>83.6</v>
      </c>
      <c r="M67" s="247" t="s">
        <v>144</v>
      </c>
      <c r="N67" s="248" t="s">
        <v>144</v>
      </c>
      <c r="O67" s="249" t="s">
        <v>144</v>
      </c>
      <c r="P67" s="237" t="s">
        <v>144</v>
      </c>
      <c r="Q67" s="242"/>
      <c r="R67" s="243"/>
      <c r="S67" s="243">
        <v>100</v>
      </c>
      <c r="T67" s="243">
        <v>84</v>
      </c>
      <c r="U67" s="243">
        <v>17</v>
      </c>
      <c r="V67" s="244" t="s">
        <v>144</v>
      </c>
      <c r="W67" s="236"/>
      <c r="X67" s="236"/>
      <c r="Y67" s="236"/>
      <c r="Z67" s="245"/>
      <c r="AA67" s="246">
        <v>11</v>
      </c>
    </row>
    <row r="68" spans="1:27" ht="15.75" thickBot="1" x14ac:dyDescent="0.3">
      <c r="A68" s="397"/>
      <c r="B68" s="261" t="s">
        <v>143</v>
      </c>
      <c r="C68" s="250">
        <v>20</v>
      </c>
      <c r="D68" s="251" t="s">
        <v>257</v>
      </c>
      <c r="E68" s="252">
        <v>20.5</v>
      </c>
      <c r="F68" s="253">
        <v>1.9390000000000001</v>
      </c>
      <c r="G68" s="254">
        <v>1.609</v>
      </c>
      <c r="H68" s="255">
        <v>1.0049999999999999</v>
      </c>
      <c r="I68" s="256">
        <v>2.6629999999999998</v>
      </c>
      <c r="J68" s="261">
        <v>39.6</v>
      </c>
      <c r="K68" s="256">
        <v>0.65500000000000003</v>
      </c>
      <c r="L68" s="257">
        <v>83.3</v>
      </c>
      <c r="M68" s="272" t="s">
        <v>144</v>
      </c>
      <c r="N68" s="273" t="s">
        <v>144</v>
      </c>
      <c r="O68" s="274" t="s">
        <v>144</v>
      </c>
      <c r="P68" s="252" t="s">
        <v>144</v>
      </c>
      <c r="Q68" s="262"/>
      <c r="R68" s="263"/>
      <c r="S68" s="263">
        <v>100</v>
      </c>
      <c r="T68" s="263">
        <v>80</v>
      </c>
      <c r="U68" s="263">
        <v>13</v>
      </c>
      <c r="V68" s="264" t="s">
        <v>144</v>
      </c>
      <c r="W68" s="256"/>
      <c r="X68" s="256"/>
      <c r="Y68" s="256"/>
      <c r="Z68" s="265"/>
      <c r="AA68" s="266">
        <v>15</v>
      </c>
    </row>
  </sheetData>
  <sheetProtection formatCells="0" formatColumns="0" formatRows="0" insertHyperlinks="0" sort="0" autoFilter="0" pivotTables="0"/>
  <mergeCells count="7">
    <mergeCell ref="A49:A68"/>
    <mergeCell ref="F2:H2"/>
    <mergeCell ref="M2:O2"/>
    <mergeCell ref="Q2:V2"/>
    <mergeCell ref="Q3:V3"/>
    <mergeCell ref="A5:A24"/>
    <mergeCell ref="A25:A48"/>
  </mergeCells>
  <conditionalFormatting sqref="B5:B68">
    <cfRule type="containsText" dxfId="73" priority="12" operator="containsText" text="3">
      <formula>NOT(ISERROR(SEARCH("3",B5)))</formula>
    </cfRule>
    <cfRule type="containsText" dxfId="72" priority="13" operator="containsText" text="5b">
      <formula>NOT(ISERROR(SEARCH("5b",B5)))</formula>
    </cfRule>
    <cfRule type="containsText" dxfId="71" priority="14" operator="containsText" text="5a">
      <formula>NOT(ISERROR(SEARCH("5a",B5)))</formula>
    </cfRule>
    <cfRule type="containsText" dxfId="70" priority="15" operator="containsText" text="5b">
      <formula>NOT(ISERROR(SEARCH("5b",B5)))</formula>
    </cfRule>
    <cfRule type="containsText" dxfId="69" priority="16" operator="containsText" text="5a">
      <formula>NOT(ISERROR(SEARCH("5a",B5)))</formula>
    </cfRule>
    <cfRule type="containsText" dxfId="68" priority="17" operator="containsText" text="5a">
      <formula>NOT(ISERROR(SEARCH("5a",B5)))</formula>
    </cfRule>
    <cfRule type="containsText" dxfId="67" priority="18" operator="containsText" text="4">
      <formula>NOT(ISERROR(SEARCH("4",B5)))</formula>
    </cfRule>
    <cfRule type="containsText" dxfId="66" priority="19" operator="containsText" text="3b">
      <formula>NOT(ISERROR(SEARCH("3b",B5)))</formula>
    </cfRule>
    <cfRule type="containsText" dxfId="65" priority="20" operator="containsText" text="3a">
      <formula>NOT(ISERROR(SEARCH("3a",B5)))</formula>
    </cfRule>
    <cfRule type="containsText" dxfId="64" priority="21" operator="containsText" text="2">
      <formula>NOT(ISERROR(SEARCH("2",B5)))</formula>
    </cfRule>
    <cfRule type="containsText" dxfId="63" priority="22" operator="containsText" text="1">
      <formula>NOT(ISERROR(SEARCH("1",B5)))</formula>
    </cfRule>
  </conditionalFormatting>
  <conditionalFormatting sqref="B5:B68">
    <cfRule type="containsText" dxfId="62" priority="1" operator="containsText" text="5b">
      <formula>NOT(ISERROR(SEARCH("5b",B5)))</formula>
    </cfRule>
    <cfRule type="containsText" dxfId="61" priority="2" operator="containsText" text="5a">
      <formula>NOT(ISERROR(SEARCH("5a",B5)))</formula>
    </cfRule>
    <cfRule type="containsText" dxfId="60" priority="3" operator="containsText" text="4">
      <formula>NOT(ISERROR(SEARCH("4",B5)))</formula>
    </cfRule>
    <cfRule type="containsText" dxfId="59" priority="4" operator="containsText" text="3b">
      <formula>NOT(ISERROR(SEARCH("3b",B5)))</formula>
    </cfRule>
    <cfRule type="containsText" dxfId="58" priority="5" operator="containsText" text="3a">
      <formula>NOT(ISERROR(SEARCH("3a",B5)))</formula>
    </cfRule>
    <cfRule type="containsText" dxfId="57" priority="6" operator="containsText" text="3">
      <formula>NOT(ISERROR(SEARCH("3",B5)))</formula>
    </cfRule>
    <cfRule type="containsText" dxfId="56" priority="7" operator="containsText" text="2">
      <formula>NOT(ISERROR(SEARCH("2",B5)))</formula>
    </cfRule>
    <cfRule type="containsText" dxfId="55" priority="8" operator="containsText" text="1">
      <formula>NOT(ISERROR(SEARCH("1",B5)))</formula>
    </cfRule>
    <cfRule type="containsText" dxfId="54" priority="9" operator="containsText" text="3">
      <formula>NOT(ISERROR(SEARCH("3",B5)))</formula>
    </cfRule>
    <cfRule type="containsText" dxfId="53" priority="10" operator="containsText" text="2">
      <formula>NOT(ISERROR(SEARCH("2",B5)))</formula>
    </cfRule>
    <cfRule type="containsText" dxfId="52" priority="11" operator="containsText" text="1">
      <formula>NOT(ISERROR(SEARCH("1",B5)))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4578" r:id="rId4" name="XuatBCButton">
          <controlPr defaultSize="0" autoLine="0" autoPict="0" r:id="rId5">
            <anchor moveWithCells="1">
              <from>
                <xdr:col>20</xdr:col>
                <xdr:colOff>247650</xdr:colOff>
                <xdr:row>0</xdr:row>
                <xdr:rowOff>142875</xdr:rowOff>
              </from>
              <to>
                <xdr:col>22</xdr:col>
                <xdr:colOff>533400</xdr:colOff>
                <xdr:row>0</xdr:row>
                <xdr:rowOff>571500</xdr:rowOff>
              </to>
            </anchor>
          </controlPr>
        </control>
      </mc:Choice>
      <mc:Fallback>
        <control shapeId="24578" r:id="rId4" name="XuatBC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F196"/>
  <sheetViews>
    <sheetView zoomScale="75" zoomScaleNormal="75" workbookViewId="0">
      <selection activeCell="B5" sqref="B5:B196"/>
    </sheetView>
  </sheetViews>
  <sheetFormatPr defaultRowHeight="15" x14ac:dyDescent="0.25"/>
  <cols>
    <col min="1" max="1" width="10" style="81" customWidth="1"/>
    <col min="2" max="2" width="11.125" style="82" bestFit="1" customWidth="1"/>
    <col min="3" max="3" width="3.625" style="81" bestFit="1" customWidth="1"/>
    <col min="4" max="4" width="11.5" style="81" bestFit="1" customWidth="1"/>
    <col min="5" max="5" width="9" style="42"/>
    <col min="6" max="6" width="11.125" style="42" bestFit="1" customWidth="1"/>
    <col min="7" max="7" width="9.875" style="42" bestFit="1" customWidth="1"/>
    <col min="8" max="8" width="11.5" style="42" bestFit="1" customWidth="1"/>
    <col min="9" max="9" width="9" style="42"/>
    <col min="10" max="10" width="11.125" style="42" bestFit="1" customWidth="1"/>
    <col min="11" max="11" width="9.875" style="42" bestFit="1" customWidth="1"/>
    <col min="12" max="12" width="11.5" style="42" bestFit="1" customWidth="1"/>
    <col min="13" max="13" width="9" style="42"/>
    <col min="14" max="14" width="11.125" style="42" bestFit="1" customWidth="1"/>
    <col min="15" max="15" width="9.875" style="42" bestFit="1" customWidth="1"/>
    <col min="16" max="16" width="11.5" style="42" bestFit="1" customWidth="1"/>
    <col min="17" max="17" width="9" style="42"/>
    <col min="18" max="18" width="11.125" style="42" bestFit="1" customWidth="1"/>
    <col min="19" max="19" width="9.875" style="42" bestFit="1" customWidth="1"/>
    <col min="20" max="20" width="11.5" style="42" bestFit="1" customWidth="1"/>
    <col min="21" max="21" width="9" style="42"/>
    <col min="22" max="22" width="11.125" style="42" bestFit="1" customWidth="1"/>
    <col min="23" max="23" width="9.875" style="42" bestFit="1" customWidth="1"/>
    <col min="24" max="24" width="11.5" style="42" bestFit="1" customWidth="1"/>
    <col min="25" max="16384" width="9" style="42"/>
  </cols>
  <sheetData>
    <row r="1" spans="1:6" ht="23.25" thickBot="1" x14ac:dyDescent="0.35">
      <c r="A1" s="55" t="s">
        <v>276</v>
      </c>
      <c r="B1" s="60"/>
      <c r="C1" s="60"/>
      <c r="D1" s="60"/>
      <c r="E1" s="60"/>
      <c r="F1" s="60"/>
    </row>
    <row r="2" spans="1:6" x14ac:dyDescent="0.25">
      <c r="A2" s="83" t="s">
        <v>99</v>
      </c>
      <c r="B2" s="84" t="s">
        <v>100</v>
      </c>
      <c r="C2" s="83" t="s">
        <v>0</v>
      </c>
      <c r="D2" s="85" t="s">
        <v>101</v>
      </c>
      <c r="E2" s="83" t="s">
        <v>38</v>
      </c>
      <c r="F2" s="83" t="s">
        <v>39</v>
      </c>
    </row>
    <row r="3" spans="1:6" x14ac:dyDescent="0.25">
      <c r="A3" s="86"/>
      <c r="B3" s="87"/>
      <c r="C3" s="86"/>
      <c r="D3" s="88"/>
      <c r="E3" s="86" t="s">
        <v>120</v>
      </c>
      <c r="F3" s="86" t="s">
        <v>120</v>
      </c>
    </row>
    <row r="4" spans="1:6" ht="15.75" thickBot="1" x14ac:dyDescent="0.3">
      <c r="A4" s="89"/>
      <c r="B4" s="90"/>
      <c r="C4" s="89"/>
      <c r="D4" s="91"/>
      <c r="E4" s="92" t="s">
        <v>40</v>
      </c>
      <c r="F4" s="89" t="s">
        <v>41</v>
      </c>
    </row>
    <row r="5" spans="1:6" x14ac:dyDescent="0.25">
      <c r="A5" s="405">
        <v>1</v>
      </c>
      <c r="B5" s="222">
        <v>2</v>
      </c>
      <c r="C5" s="222">
        <v>1</v>
      </c>
      <c r="D5" s="275" t="s">
        <v>258</v>
      </c>
      <c r="E5" s="389">
        <v>0.3</v>
      </c>
      <c r="F5" s="217">
        <v>0.13200000000000001</v>
      </c>
    </row>
    <row r="6" spans="1:6" x14ac:dyDescent="0.25">
      <c r="A6" s="406"/>
      <c r="B6" s="240">
        <v>2</v>
      </c>
      <c r="C6" s="240">
        <v>2</v>
      </c>
      <c r="D6" s="276" t="s">
        <v>258</v>
      </c>
      <c r="E6" s="390">
        <v>0.5</v>
      </c>
      <c r="F6" s="235">
        <v>0.155</v>
      </c>
    </row>
    <row r="7" spans="1:6" x14ac:dyDescent="0.25">
      <c r="A7" s="406"/>
      <c r="B7" s="240">
        <v>2</v>
      </c>
      <c r="C7" s="240">
        <v>3</v>
      </c>
      <c r="D7" s="276" t="s">
        <v>258</v>
      </c>
      <c r="E7" s="390">
        <v>0.7</v>
      </c>
      <c r="F7" s="235">
        <v>0.17799999999999999</v>
      </c>
    </row>
    <row r="8" spans="1:6" x14ac:dyDescent="0.25">
      <c r="A8" s="406"/>
      <c r="B8" s="240">
        <v>2</v>
      </c>
      <c r="C8" s="240">
        <v>4</v>
      </c>
      <c r="D8" s="276" t="s">
        <v>259</v>
      </c>
      <c r="E8" s="390">
        <v>0.1</v>
      </c>
      <c r="F8" s="235">
        <v>8.6999999999999994E-2</v>
      </c>
    </row>
    <row r="9" spans="1:6" x14ac:dyDescent="0.25">
      <c r="A9" s="406"/>
      <c r="B9" s="240">
        <v>2</v>
      </c>
      <c r="C9" s="240">
        <v>5</v>
      </c>
      <c r="D9" s="276" t="s">
        <v>259</v>
      </c>
      <c r="E9" s="390">
        <v>0.2</v>
      </c>
      <c r="F9" s="235">
        <v>9.6000000000000002E-2</v>
      </c>
    </row>
    <row r="10" spans="1:6" x14ac:dyDescent="0.25">
      <c r="A10" s="406"/>
      <c r="B10" s="240">
        <v>2</v>
      </c>
      <c r="C10" s="240">
        <v>6</v>
      </c>
      <c r="D10" s="276" t="s">
        <v>259</v>
      </c>
      <c r="E10" s="390">
        <v>0.3</v>
      </c>
      <c r="F10" s="235">
        <v>0.106</v>
      </c>
    </row>
    <row r="11" spans="1:6" x14ac:dyDescent="0.25">
      <c r="A11" s="406"/>
      <c r="B11" s="240">
        <v>2</v>
      </c>
      <c r="C11" s="240">
        <v>7</v>
      </c>
      <c r="D11" s="276" t="s">
        <v>260</v>
      </c>
      <c r="E11" s="390">
        <v>0.1</v>
      </c>
      <c r="F11" s="235">
        <v>8.4000000000000005E-2</v>
      </c>
    </row>
    <row r="12" spans="1:6" x14ac:dyDescent="0.25">
      <c r="A12" s="406"/>
      <c r="B12" s="240">
        <v>2</v>
      </c>
      <c r="C12" s="240">
        <v>8</v>
      </c>
      <c r="D12" s="276" t="s">
        <v>260</v>
      </c>
      <c r="E12" s="390">
        <v>0.2</v>
      </c>
      <c r="F12" s="235">
        <v>9.1999999999999998E-2</v>
      </c>
    </row>
    <row r="13" spans="1:6" x14ac:dyDescent="0.25">
      <c r="A13" s="406"/>
      <c r="B13" s="240">
        <v>2</v>
      </c>
      <c r="C13" s="240">
        <v>9</v>
      </c>
      <c r="D13" s="276" t="s">
        <v>260</v>
      </c>
      <c r="E13" s="390">
        <v>0.3</v>
      </c>
      <c r="F13" s="235">
        <v>0.10100000000000001</v>
      </c>
    </row>
    <row r="14" spans="1:6" x14ac:dyDescent="0.25">
      <c r="A14" s="406"/>
      <c r="B14" s="240">
        <v>2</v>
      </c>
      <c r="C14" s="240">
        <v>10</v>
      </c>
      <c r="D14" s="276" t="s">
        <v>261</v>
      </c>
      <c r="E14" s="390">
        <v>0.1</v>
      </c>
      <c r="F14" s="235">
        <v>9.1999999999999998E-2</v>
      </c>
    </row>
    <row r="15" spans="1:6" x14ac:dyDescent="0.25">
      <c r="A15" s="406"/>
      <c r="B15" s="240">
        <v>2</v>
      </c>
      <c r="C15" s="240">
        <v>11</v>
      </c>
      <c r="D15" s="276" t="s">
        <v>261</v>
      </c>
      <c r="E15" s="390">
        <v>0.2</v>
      </c>
      <c r="F15" s="235">
        <v>0.10100000000000001</v>
      </c>
    </row>
    <row r="16" spans="1:6" x14ac:dyDescent="0.25">
      <c r="A16" s="406"/>
      <c r="B16" s="240">
        <v>2</v>
      </c>
      <c r="C16" s="240">
        <v>12</v>
      </c>
      <c r="D16" s="276" t="s">
        <v>261</v>
      </c>
      <c r="E16" s="390">
        <v>0.3</v>
      </c>
      <c r="F16" s="235">
        <v>0.111</v>
      </c>
    </row>
    <row r="17" spans="1:6" x14ac:dyDescent="0.25">
      <c r="A17" s="406"/>
      <c r="B17" s="240">
        <v>2</v>
      </c>
      <c r="C17" s="240">
        <v>13</v>
      </c>
      <c r="D17" s="276" t="s">
        <v>262</v>
      </c>
      <c r="E17" s="390">
        <v>0.1</v>
      </c>
      <c r="F17" s="235">
        <v>8.7999999999999995E-2</v>
      </c>
    </row>
    <row r="18" spans="1:6" x14ac:dyDescent="0.25">
      <c r="A18" s="406"/>
      <c r="B18" s="240">
        <v>2</v>
      </c>
      <c r="C18" s="240">
        <v>14</v>
      </c>
      <c r="D18" s="276" t="s">
        <v>262</v>
      </c>
      <c r="E18" s="390">
        <v>0.2</v>
      </c>
      <c r="F18" s="235">
        <v>9.7000000000000003E-2</v>
      </c>
    </row>
    <row r="19" spans="1:6" x14ac:dyDescent="0.25">
      <c r="A19" s="406"/>
      <c r="B19" s="240">
        <v>2</v>
      </c>
      <c r="C19" s="240">
        <v>15</v>
      </c>
      <c r="D19" s="276" t="s">
        <v>262</v>
      </c>
      <c r="E19" s="390">
        <v>0.3</v>
      </c>
      <c r="F19" s="235">
        <v>0.105</v>
      </c>
    </row>
    <row r="20" spans="1:6" x14ac:dyDescent="0.25">
      <c r="A20" s="406"/>
      <c r="B20" s="240">
        <v>2</v>
      </c>
      <c r="C20" s="240">
        <v>16</v>
      </c>
      <c r="D20" s="276" t="s">
        <v>263</v>
      </c>
      <c r="E20" s="390">
        <v>0.1</v>
      </c>
      <c r="F20" s="235">
        <v>9.4E-2</v>
      </c>
    </row>
    <row r="21" spans="1:6" x14ac:dyDescent="0.25">
      <c r="A21" s="406"/>
      <c r="B21" s="240">
        <v>2</v>
      </c>
      <c r="C21" s="240">
        <v>17</v>
      </c>
      <c r="D21" s="276" t="s">
        <v>263</v>
      </c>
      <c r="E21" s="390">
        <v>0.2</v>
      </c>
      <c r="F21" s="235">
        <v>0.10299999999999999</v>
      </c>
    </row>
    <row r="22" spans="1:6" x14ac:dyDescent="0.25">
      <c r="A22" s="406"/>
      <c r="B22" s="240">
        <v>2</v>
      </c>
      <c r="C22" s="240">
        <v>18</v>
      </c>
      <c r="D22" s="276" t="s">
        <v>263</v>
      </c>
      <c r="E22" s="390">
        <v>0.3</v>
      </c>
      <c r="F22" s="235">
        <v>0.113</v>
      </c>
    </row>
    <row r="23" spans="1:6" x14ac:dyDescent="0.25">
      <c r="A23" s="406"/>
      <c r="B23" s="240">
        <v>2</v>
      </c>
      <c r="C23" s="240">
        <v>19</v>
      </c>
      <c r="D23" s="276" t="s">
        <v>10</v>
      </c>
      <c r="E23" s="390">
        <v>0.1</v>
      </c>
      <c r="F23" s="235">
        <v>9.7000000000000003E-2</v>
      </c>
    </row>
    <row r="24" spans="1:6" x14ac:dyDescent="0.25">
      <c r="A24" s="406"/>
      <c r="B24" s="240">
        <v>2</v>
      </c>
      <c r="C24" s="240">
        <v>20</v>
      </c>
      <c r="D24" s="276" t="s">
        <v>10</v>
      </c>
      <c r="E24" s="390">
        <v>0.2</v>
      </c>
      <c r="F24" s="235">
        <v>0.106</v>
      </c>
    </row>
    <row r="25" spans="1:6" x14ac:dyDescent="0.25">
      <c r="A25" s="406"/>
      <c r="B25" s="240">
        <v>2</v>
      </c>
      <c r="C25" s="240">
        <v>21</v>
      </c>
      <c r="D25" s="276" t="s">
        <v>10</v>
      </c>
      <c r="E25" s="390">
        <v>0.3</v>
      </c>
      <c r="F25" s="235">
        <v>0.11600000000000001</v>
      </c>
    </row>
    <row r="26" spans="1:6" x14ac:dyDescent="0.25">
      <c r="A26" s="406"/>
      <c r="B26" s="240">
        <v>2</v>
      </c>
      <c r="C26" s="240">
        <v>22</v>
      </c>
      <c r="D26" s="276" t="s">
        <v>11</v>
      </c>
      <c r="E26" s="390">
        <v>0.1</v>
      </c>
      <c r="F26" s="235">
        <v>9.9000000000000005E-2</v>
      </c>
    </row>
    <row r="27" spans="1:6" x14ac:dyDescent="0.25">
      <c r="A27" s="406"/>
      <c r="B27" s="240">
        <v>2</v>
      </c>
      <c r="C27" s="240">
        <v>23</v>
      </c>
      <c r="D27" s="276" t="s">
        <v>11</v>
      </c>
      <c r="E27" s="390">
        <v>0.2</v>
      </c>
      <c r="F27" s="235">
        <v>0.109</v>
      </c>
    </row>
    <row r="28" spans="1:6" x14ac:dyDescent="0.25">
      <c r="A28" s="406"/>
      <c r="B28" s="240">
        <v>2</v>
      </c>
      <c r="C28" s="240">
        <v>24</v>
      </c>
      <c r="D28" s="276" t="s">
        <v>11</v>
      </c>
      <c r="E28" s="390">
        <v>0.3</v>
      </c>
      <c r="F28" s="235">
        <v>0.11899999999999999</v>
      </c>
    </row>
    <row r="29" spans="1:6" x14ac:dyDescent="0.25">
      <c r="A29" s="406"/>
      <c r="B29" s="240">
        <v>2</v>
      </c>
      <c r="C29" s="240">
        <v>25</v>
      </c>
      <c r="D29" s="276" t="s">
        <v>12</v>
      </c>
      <c r="E29" s="390">
        <v>0.1</v>
      </c>
      <c r="F29" s="235">
        <v>0.10100000000000001</v>
      </c>
    </row>
    <row r="30" spans="1:6" x14ac:dyDescent="0.25">
      <c r="A30" s="406"/>
      <c r="B30" s="240">
        <v>2</v>
      </c>
      <c r="C30" s="240">
        <v>26</v>
      </c>
      <c r="D30" s="276" t="s">
        <v>12</v>
      </c>
      <c r="E30" s="390">
        <v>0.2</v>
      </c>
      <c r="F30" s="235">
        <v>0.111</v>
      </c>
    </row>
    <row r="31" spans="1:6" x14ac:dyDescent="0.25">
      <c r="A31" s="406"/>
      <c r="B31" s="240">
        <v>2</v>
      </c>
      <c r="C31" s="240">
        <v>27</v>
      </c>
      <c r="D31" s="276" t="s">
        <v>12</v>
      </c>
      <c r="E31" s="390">
        <v>0.3</v>
      </c>
      <c r="F31" s="235">
        <v>0.122</v>
      </c>
    </row>
    <row r="32" spans="1:6" x14ac:dyDescent="0.25">
      <c r="A32" s="406"/>
      <c r="B32" s="240">
        <v>2</v>
      </c>
      <c r="C32" s="240">
        <v>28</v>
      </c>
      <c r="D32" s="276" t="s">
        <v>13</v>
      </c>
      <c r="E32" s="390">
        <v>0.3</v>
      </c>
      <c r="F32" s="235">
        <v>0.125</v>
      </c>
    </row>
    <row r="33" spans="1:6" x14ac:dyDescent="0.25">
      <c r="A33" s="406"/>
      <c r="B33" s="240">
        <v>2</v>
      </c>
      <c r="C33" s="240">
        <v>29</v>
      </c>
      <c r="D33" s="276" t="s">
        <v>13</v>
      </c>
      <c r="E33" s="390">
        <v>0.5</v>
      </c>
      <c r="F33" s="235">
        <v>0.14699999999999999</v>
      </c>
    </row>
    <row r="34" spans="1:6" x14ac:dyDescent="0.25">
      <c r="A34" s="406"/>
      <c r="B34" s="240">
        <v>2</v>
      </c>
      <c r="C34" s="240">
        <v>30</v>
      </c>
      <c r="D34" s="276" t="s">
        <v>13</v>
      </c>
      <c r="E34" s="390">
        <v>0.7</v>
      </c>
      <c r="F34" s="235">
        <v>0.16900000000000001</v>
      </c>
    </row>
    <row r="35" spans="1:6" x14ac:dyDescent="0.25">
      <c r="A35" s="406"/>
      <c r="B35" s="240" t="s">
        <v>227</v>
      </c>
      <c r="C35" s="240">
        <v>31</v>
      </c>
      <c r="D35" s="276" t="s">
        <v>83</v>
      </c>
      <c r="E35" s="390">
        <v>1</v>
      </c>
      <c r="F35" s="235">
        <v>0.50700000000000001</v>
      </c>
    </row>
    <row r="36" spans="1:6" x14ac:dyDescent="0.25">
      <c r="A36" s="406"/>
      <c r="B36" s="240" t="s">
        <v>227</v>
      </c>
      <c r="C36" s="240">
        <v>32</v>
      </c>
      <c r="D36" s="276" t="s">
        <v>83</v>
      </c>
      <c r="E36" s="390">
        <v>2</v>
      </c>
      <c r="F36" s="235">
        <v>0.98399999999999999</v>
      </c>
    </row>
    <row r="37" spans="1:6" x14ac:dyDescent="0.25">
      <c r="A37" s="406"/>
      <c r="B37" s="240" t="s">
        <v>227</v>
      </c>
      <c r="C37" s="240">
        <v>33</v>
      </c>
      <c r="D37" s="276" t="s">
        <v>83</v>
      </c>
      <c r="E37" s="390">
        <v>3</v>
      </c>
      <c r="F37" s="235">
        <v>1.4610000000000001</v>
      </c>
    </row>
    <row r="38" spans="1:6" x14ac:dyDescent="0.25">
      <c r="A38" s="406"/>
      <c r="B38" s="240">
        <v>4</v>
      </c>
      <c r="C38" s="240">
        <v>34</v>
      </c>
      <c r="D38" s="276" t="s">
        <v>84</v>
      </c>
      <c r="E38" s="390">
        <v>1</v>
      </c>
      <c r="F38" s="235">
        <v>0.432</v>
      </c>
    </row>
    <row r="39" spans="1:6" x14ac:dyDescent="0.25">
      <c r="A39" s="406"/>
      <c r="B39" s="240">
        <v>4</v>
      </c>
      <c r="C39" s="240">
        <v>35</v>
      </c>
      <c r="D39" s="276" t="s">
        <v>84</v>
      </c>
      <c r="E39" s="390">
        <v>2</v>
      </c>
      <c r="F39" s="235">
        <v>0.71</v>
      </c>
    </row>
    <row r="40" spans="1:6" x14ac:dyDescent="0.25">
      <c r="A40" s="406"/>
      <c r="B40" s="240">
        <v>4</v>
      </c>
      <c r="C40" s="240">
        <v>36</v>
      </c>
      <c r="D40" s="240" t="s">
        <v>84</v>
      </c>
      <c r="E40" s="390">
        <v>3</v>
      </c>
      <c r="F40" s="241">
        <v>0.98699999999999999</v>
      </c>
    </row>
    <row r="41" spans="1:6" x14ac:dyDescent="0.25">
      <c r="A41" s="406"/>
      <c r="B41" s="240">
        <v>4</v>
      </c>
      <c r="C41" s="240">
        <v>37</v>
      </c>
      <c r="D41" s="240" t="s">
        <v>87</v>
      </c>
      <c r="E41" s="390">
        <v>1</v>
      </c>
      <c r="F41" s="241">
        <v>0.41499999999999998</v>
      </c>
    </row>
    <row r="42" spans="1:6" x14ac:dyDescent="0.25">
      <c r="A42" s="406"/>
      <c r="B42" s="240">
        <v>4</v>
      </c>
      <c r="C42" s="240">
        <v>38</v>
      </c>
      <c r="D42" s="240" t="s">
        <v>87</v>
      </c>
      <c r="E42" s="390">
        <v>2</v>
      </c>
      <c r="F42" s="241">
        <v>0.68300000000000005</v>
      </c>
    </row>
    <row r="43" spans="1:6" x14ac:dyDescent="0.25">
      <c r="A43" s="406"/>
      <c r="B43" s="240">
        <v>4</v>
      </c>
      <c r="C43" s="240">
        <v>39</v>
      </c>
      <c r="D43" s="240" t="s">
        <v>87</v>
      </c>
      <c r="E43" s="390">
        <v>3</v>
      </c>
      <c r="F43" s="241">
        <v>0.95099999999999996</v>
      </c>
    </row>
    <row r="44" spans="1:6" x14ac:dyDescent="0.25">
      <c r="A44" s="406"/>
      <c r="B44" s="240" t="s">
        <v>145</v>
      </c>
      <c r="C44" s="240">
        <v>40</v>
      </c>
      <c r="D44" s="240" t="s">
        <v>86</v>
      </c>
      <c r="E44" s="390">
        <v>1</v>
      </c>
      <c r="F44" s="241">
        <v>0.48399999999999999</v>
      </c>
    </row>
    <row r="45" spans="1:6" x14ac:dyDescent="0.25">
      <c r="A45" s="406"/>
      <c r="B45" s="240" t="s">
        <v>145</v>
      </c>
      <c r="C45" s="240">
        <v>41</v>
      </c>
      <c r="D45" s="240" t="s">
        <v>86</v>
      </c>
      <c r="E45" s="390">
        <v>2</v>
      </c>
      <c r="F45" s="241">
        <v>0.93899999999999995</v>
      </c>
    </row>
    <row r="46" spans="1:6" x14ac:dyDescent="0.25">
      <c r="A46" s="406"/>
      <c r="B46" s="240" t="s">
        <v>145</v>
      </c>
      <c r="C46" s="240">
        <v>42</v>
      </c>
      <c r="D46" s="240" t="s">
        <v>86</v>
      </c>
      <c r="E46" s="390">
        <v>3</v>
      </c>
      <c r="F46" s="241">
        <v>1.395</v>
      </c>
    </row>
    <row r="47" spans="1:6" x14ac:dyDescent="0.25">
      <c r="A47" s="406"/>
      <c r="B47" s="240" t="s">
        <v>145</v>
      </c>
      <c r="C47" s="240">
        <v>43</v>
      </c>
      <c r="D47" s="240" t="s">
        <v>89</v>
      </c>
      <c r="E47" s="390">
        <v>1</v>
      </c>
      <c r="F47" s="241">
        <v>0.49</v>
      </c>
    </row>
    <row r="48" spans="1:6" x14ac:dyDescent="0.25">
      <c r="A48" s="406"/>
      <c r="B48" s="240" t="s">
        <v>145</v>
      </c>
      <c r="C48" s="240">
        <v>44</v>
      </c>
      <c r="D48" s="240" t="s">
        <v>89</v>
      </c>
      <c r="E48" s="390">
        <v>2</v>
      </c>
      <c r="F48" s="241">
        <v>0.95699999999999996</v>
      </c>
    </row>
    <row r="49" spans="1:6" x14ac:dyDescent="0.25">
      <c r="A49" s="406"/>
      <c r="B49" s="240" t="s">
        <v>145</v>
      </c>
      <c r="C49" s="240">
        <v>45</v>
      </c>
      <c r="D49" s="240" t="s">
        <v>89</v>
      </c>
      <c r="E49" s="390">
        <v>3</v>
      </c>
      <c r="F49" s="241">
        <v>1.423</v>
      </c>
    </row>
    <row r="50" spans="1:6" x14ac:dyDescent="0.25">
      <c r="A50" s="406"/>
      <c r="B50" s="240" t="s">
        <v>145</v>
      </c>
      <c r="C50" s="240">
        <v>46</v>
      </c>
      <c r="D50" s="240" t="s">
        <v>91</v>
      </c>
      <c r="E50" s="390">
        <v>1</v>
      </c>
      <c r="F50" s="241">
        <v>0.51500000000000001</v>
      </c>
    </row>
    <row r="51" spans="1:6" x14ac:dyDescent="0.25">
      <c r="A51" s="406"/>
      <c r="B51" s="240" t="s">
        <v>145</v>
      </c>
      <c r="C51" s="240">
        <v>47</v>
      </c>
      <c r="D51" s="240" t="s">
        <v>91</v>
      </c>
      <c r="E51" s="390">
        <v>2</v>
      </c>
      <c r="F51" s="241">
        <v>1.002</v>
      </c>
    </row>
    <row r="52" spans="1:6" x14ac:dyDescent="0.25">
      <c r="A52" s="406"/>
      <c r="B52" s="240" t="s">
        <v>145</v>
      </c>
      <c r="C52" s="240">
        <v>48</v>
      </c>
      <c r="D52" s="240" t="s">
        <v>91</v>
      </c>
      <c r="E52" s="390">
        <v>3</v>
      </c>
      <c r="F52" s="241">
        <v>1.49</v>
      </c>
    </row>
    <row r="53" spans="1:6" x14ac:dyDescent="0.25">
      <c r="A53" s="406"/>
      <c r="B53" s="240" t="s">
        <v>143</v>
      </c>
      <c r="C53" s="240">
        <v>49</v>
      </c>
      <c r="D53" s="240" t="s">
        <v>85</v>
      </c>
      <c r="E53" s="390">
        <v>1</v>
      </c>
      <c r="F53" s="241">
        <v>0.60599999999999998</v>
      </c>
    </row>
    <row r="54" spans="1:6" x14ac:dyDescent="0.25">
      <c r="A54" s="406"/>
      <c r="B54" s="240" t="s">
        <v>143</v>
      </c>
      <c r="C54" s="240">
        <v>50</v>
      </c>
      <c r="D54" s="240" t="s">
        <v>85</v>
      </c>
      <c r="E54" s="390">
        <v>2</v>
      </c>
      <c r="F54" s="241">
        <v>1.1839999999999999</v>
      </c>
    </row>
    <row r="55" spans="1:6" x14ac:dyDescent="0.25">
      <c r="A55" s="406"/>
      <c r="B55" s="240" t="s">
        <v>143</v>
      </c>
      <c r="C55" s="240">
        <v>51</v>
      </c>
      <c r="D55" s="240" t="s">
        <v>85</v>
      </c>
      <c r="E55" s="390">
        <v>3</v>
      </c>
      <c r="F55" s="241">
        <v>1.7609999999999999</v>
      </c>
    </row>
    <row r="56" spans="1:6" x14ac:dyDescent="0.25">
      <c r="A56" s="406"/>
      <c r="B56" s="240" t="s">
        <v>143</v>
      </c>
      <c r="C56" s="240">
        <v>52</v>
      </c>
      <c r="D56" s="240" t="s">
        <v>88</v>
      </c>
      <c r="E56" s="390">
        <v>1</v>
      </c>
      <c r="F56" s="241">
        <v>0.64300000000000002</v>
      </c>
    </row>
    <row r="57" spans="1:6" x14ac:dyDescent="0.25">
      <c r="A57" s="406"/>
      <c r="B57" s="240" t="s">
        <v>143</v>
      </c>
      <c r="C57" s="240">
        <v>53</v>
      </c>
      <c r="D57" s="240" t="s">
        <v>88</v>
      </c>
      <c r="E57" s="390">
        <v>2</v>
      </c>
      <c r="F57" s="241">
        <v>1.256</v>
      </c>
    </row>
    <row r="58" spans="1:6" x14ac:dyDescent="0.25">
      <c r="A58" s="406"/>
      <c r="B58" s="240" t="s">
        <v>143</v>
      </c>
      <c r="C58" s="240">
        <v>54</v>
      </c>
      <c r="D58" s="240" t="s">
        <v>88</v>
      </c>
      <c r="E58" s="390">
        <v>3</v>
      </c>
      <c r="F58" s="241">
        <v>1.8680000000000001</v>
      </c>
    </row>
    <row r="59" spans="1:6" x14ac:dyDescent="0.25">
      <c r="A59" s="406"/>
      <c r="B59" s="240" t="s">
        <v>143</v>
      </c>
      <c r="C59" s="240">
        <v>55</v>
      </c>
      <c r="D59" s="240" t="s">
        <v>228</v>
      </c>
      <c r="E59" s="390">
        <v>1</v>
      </c>
      <c r="F59" s="241">
        <v>0.67100000000000004</v>
      </c>
    </row>
    <row r="60" spans="1:6" x14ac:dyDescent="0.25">
      <c r="A60" s="406"/>
      <c r="B60" s="240" t="s">
        <v>143</v>
      </c>
      <c r="C60" s="240">
        <v>56</v>
      </c>
      <c r="D60" s="240" t="s">
        <v>228</v>
      </c>
      <c r="E60" s="390">
        <v>2</v>
      </c>
      <c r="F60" s="241">
        <v>1.3080000000000001</v>
      </c>
    </row>
    <row r="61" spans="1:6" x14ac:dyDescent="0.25">
      <c r="A61" s="406"/>
      <c r="B61" s="240" t="s">
        <v>143</v>
      </c>
      <c r="C61" s="240">
        <v>57</v>
      </c>
      <c r="D61" s="240" t="s">
        <v>228</v>
      </c>
      <c r="E61" s="390">
        <v>3</v>
      </c>
      <c r="F61" s="241">
        <v>1.9450000000000001</v>
      </c>
    </row>
    <row r="62" spans="1:6" x14ac:dyDescent="0.25">
      <c r="A62" s="406"/>
      <c r="B62" s="240" t="s">
        <v>143</v>
      </c>
      <c r="C62" s="240">
        <v>58</v>
      </c>
      <c r="D62" s="240" t="s">
        <v>229</v>
      </c>
      <c r="E62" s="390">
        <v>1</v>
      </c>
      <c r="F62" s="241">
        <v>0.65700000000000003</v>
      </c>
    </row>
    <row r="63" spans="1:6" x14ac:dyDescent="0.25">
      <c r="A63" s="406"/>
      <c r="B63" s="240" t="s">
        <v>143</v>
      </c>
      <c r="C63" s="240">
        <v>59</v>
      </c>
      <c r="D63" s="240" t="s">
        <v>229</v>
      </c>
      <c r="E63" s="390">
        <v>2</v>
      </c>
      <c r="F63" s="241">
        <v>1.282</v>
      </c>
    </row>
    <row r="64" spans="1:6" ht="15.75" thickBot="1" x14ac:dyDescent="0.3">
      <c r="A64" s="407"/>
      <c r="B64" s="259" t="s">
        <v>143</v>
      </c>
      <c r="C64" s="259">
        <v>60</v>
      </c>
      <c r="D64" s="259" t="s">
        <v>229</v>
      </c>
      <c r="E64" s="391">
        <v>3</v>
      </c>
      <c r="F64" s="260">
        <v>1.907</v>
      </c>
    </row>
    <row r="65" spans="1:6" x14ac:dyDescent="0.25">
      <c r="A65" s="405">
        <v>2</v>
      </c>
      <c r="B65" s="222">
        <v>2</v>
      </c>
      <c r="C65" s="222">
        <v>1</v>
      </c>
      <c r="D65" s="222" t="s">
        <v>264</v>
      </c>
      <c r="E65" s="389">
        <v>0.3</v>
      </c>
      <c r="F65" s="223">
        <v>0.128</v>
      </c>
    </row>
    <row r="66" spans="1:6" x14ac:dyDescent="0.25">
      <c r="A66" s="406"/>
      <c r="B66" s="240">
        <v>2</v>
      </c>
      <c r="C66" s="240">
        <v>2</v>
      </c>
      <c r="D66" s="240" t="s">
        <v>264</v>
      </c>
      <c r="E66" s="390">
        <v>0.5</v>
      </c>
      <c r="F66" s="241">
        <v>0.151</v>
      </c>
    </row>
    <row r="67" spans="1:6" x14ac:dyDescent="0.25">
      <c r="A67" s="406"/>
      <c r="B67" s="240">
        <v>2</v>
      </c>
      <c r="C67" s="240">
        <v>3</v>
      </c>
      <c r="D67" s="240" t="s">
        <v>264</v>
      </c>
      <c r="E67" s="390">
        <v>0.7</v>
      </c>
      <c r="F67" s="241">
        <v>0.17499999999999999</v>
      </c>
    </row>
    <row r="68" spans="1:6" x14ac:dyDescent="0.25">
      <c r="A68" s="406"/>
      <c r="B68" s="240">
        <v>2</v>
      </c>
      <c r="C68" s="240">
        <v>4</v>
      </c>
      <c r="D68" s="240" t="s">
        <v>265</v>
      </c>
      <c r="E68" s="390">
        <v>0.1</v>
      </c>
      <c r="F68" s="241">
        <v>8.1000000000000003E-2</v>
      </c>
    </row>
    <row r="69" spans="1:6" x14ac:dyDescent="0.25">
      <c r="A69" s="406"/>
      <c r="B69" s="240">
        <v>2</v>
      </c>
      <c r="C69" s="240">
        <v>5</v>
      </c>
      <c r="D69" s="240" t="s">
        <v>265</v>
      </c>
      <c r="E69" s="390">
        <v>0.2</v>
      </c>
      <c r="F69" s="241">
        <v>8.8999999999999996E-2</v>
      </c>
    </row>
    <row r="70" spans="1:6" x14ac:dyDescent="0.25">
      <c r="A70" s="406"/>
      <c r="B70" s="240">
        <v>2</v>
      </c>
      <c r="C70" s="240">
        <v>6</v>
      </c>
      <c r="D70" s="240" t="s">
        <v>265</v>
      </c>
      <c r="E70" s="390">
        <v>0.3</v>
      </c>
      <c r="F70" s="241">
        <v>9.7000000000000003E-2</v>
      </c>
    </row>
    <row r="71" spans="1:6" x14ac:dyDescent="0.25">
      <c r="A71" s="406"/>
      <c r="B71" s="240">
        <v>2</v>
      </c>
      <c r="C71" s="240">
        <v>7</v>
      </c>
      <c r="D71" s="240" t="s">
        <v>266</v>
      </c>
      <c r="E71" s="390">
        <v>0.1</v>
      </c>
      <c r="F71" s="241">
        <v>8.3000000000000004E-2</v>
      </c>
    </row>
    <row r="72" spans="1:6" x14ac:dyDescent="0.25">
      <c r="A72" s="406"/>
      <c r="B72" s="240">
        <v>2</v>
      </c>
      <c r="C72" s="240">
        <v>8</v>
      </c>
      <c r="D72" s="240" t="s">
        <v>266</v>
      </c>
      <c r="E72" s="390">
        <v>0.2</v>
      </c>
      <c r="F72" s="241">
        <v>9.1999999999999998E-2</v>
      </c>
    </row>
    <row r="73" spans="1:6" x14ac:dyDescent="0.25">
      <c r="A73" s="406"/>
      <c r="B73" s="240">
        <v>2</v>
      </c>
      <c r="C73" s="240">
        <v>9</v>
      </c>
      <c r="D73" s="240" t="s">
        <v>266</v>
      </c>
      <c r="E73" s="390">
        <v>0.3</v>
      </c>
      <c r="F73" s="241">
        <v>0.1</v>
      </c>
    </row>
    <row r="74" spans="1:6" x14ac:dyDescent="0.25">
      <c r="A74" s="406"/>
      <c r="B74" s="240">
        <v>2</v>
      </c>
      <c r="C74" s="240">
        <v>10</v>
      </c>
      <c r="D74" s="240" t="s">
        <v>267</v>
      </c>
      <c r="E74" s="390">
        <v>0.1</v>
      </c>
      <c r="F74" s="241">
        <v>9.0999999999999998E-2</v>
      </c>
    </row>
    <row r="75" spans="1:6" x14ac:dyDescent="0.25">
      <c r="A75" s="406"/>
      <c r="B75" s="240">
        <v>2</v>
      </c>
      <c r="C75" s="240">
        <v>11</v>
      </c>
      <c r="D75" s="240" t="s">
        <v>267</v>
      </c>
      <c r="E75" s="390">
        <v>0.2</v>
      </c>
      <c r="F75" s="241">
        <v>9.9000000000000005E-2</v>
      </c>
    </row>
    <row r="76" spans="1:6" x14ac:dyDescent="0.25">
      <c r="A76" s="406"/>
      <c r="B76" s="240">
        <v>2</v>
      </c>
      <c r="C76" s="240">
        <v>12</v>
      </c>
      <c r="D76" s="240" t="s">
        <v>267</v>
      </c>
      <c r="E76" s="390">
        <v>0.3</v>
      </c>
      <c r="F76" s="241">
        <v>0.108</v>
      </c>
    </row>
    <row r="77" spans="1:6" x14ac:dyDescent="0.25">
      <c r="A77" s="406"/>
      <c r="B77" s="240">
        <v>2</v>
      </c>
      <c r="C77" s="240">
        <v>13</v>
      </c>
      <c r="D77" s="240" t="s">
        <v>268</v>
      </c>
      <c r="E77" s="390">
        <v>0.1</v>
      </c>
      <c r="F77" s="241">
        <v>8.5000000000000006E-2</v>
      </c>
    </row>
    <row r="78" spans="1:6" x14ac:dyDescent="0.25">
      <c r="A78" s="406"/>
      <c r="B78" s="240">
        <v>2</v>
      </c>
      <c r="C78" s="240">
        <v>14</v>
      </c>
      <c r="D78" s="240" t="s">
        <v>268</v>
      </c>
      <c r="E78" s="390">
        <v>0.2</v>
      </c>
      <c r="F78" s="241">
        <v>9.2999999999999999E-2</v>
      </c>
    </row>
    <row r="79" spans="1:6" x14ac:dyDescent="0.25">
      <c r="A79" s="406"/>
      <c r="B79" s="240">
        <v>2</v>
      </c>
      <c r="C79" s="240">
        <v>15</v>
      </c>
      <c r="D79" s="240" t="s">
        <v>268</v>
      </c>
      <c r="E79" s="390">
        <v>0.3</v>
      </c>
      <c r="F79" s="241">
        <v>0.10100000000000001</v>
      </c>
    </row>
    <row r="80" spans="1:6" x14ac:dyDescent="0.25">
      <c r="A80" s="406"/>
      <c r="B80" s="240">
        <v>2</v>
      </c>
      <c r="C80" s="240">
        <v>16</v>
      </c>
      <c r="D80" s="240" t="s">
        <v>269</v>
      </c>
      <c r="E80" s="390">
        <v>0.1</v>
      </c>
      <c r="F80" s="241">
        <v>8.8999999999999996E-2</v>
      </c>
    </row>
    <row r="81" spans="1:6" x14ac:dyDescent="0.25">
      <c r="A81" s="406"/>
      <c r="B81" s="240">
        <v>2</v>
      </c>
      <c r="C81" s="240">
        <v>17</v>
      </c>
      <c r="D81" s="240" t="s">
        <v>269</v>
      </c>
      <c r="E81" s="390">
        <v>0.2</v>
      </c>
      <c r="F81" s="241">
        <v>9.7000000000000003E-2</v>
      </c>
    </row>
    <row r="82" spans="1:6" x14ac:dyDescent="0.25">
      <c r="A82" s="406"/>
      <c r="B82" s="240">
        <v>2</v>
      </c>
      <c r="C82" s="240">
        <v>18</v>
      </c>
      <c r="D82" s="240" t="s">
        <v>269</v>
      </c>
      <c r="E82" s="390">
        <v>0.3</v>
      </c>
      <c r="F82" s="241">
        <v>0.106</v>
      </c>
    </row>
    <row r="83" spans="1:6" x14ac:dyDescent="0.25">
      <c r="A83" s="406"/>
      <c r="B83" s="240">
        <v>2</v>
      </c>
      <c r="C83" s="240">
        <v>19</v>
      </c>
      <c r="D83" s="240" t="s">
        <v>20</v>
      </c>
      <c r="E83" s="390">
        <v>0.1</v>
      </c>
      <c r="F83" s="241">
        <v>9.4E-2</v>
      </c>
    </row>
    <row r="84" spans="1:6" x14ac:dyDescent="0.25">
      <c r="A84" s="406"/>
      <c r="B84" s="240">
        <v>2</v>
      </c>
      <c r="C84" s="240">
        <v>20</v>
      </c>
      <c r="D84" s="240" t="s">
        <v>20</v>
      </c>
      <c r="E84" s="390">
        <v>0.2</v>
      </c>
      <c r="F84" s="241">
        <v>0.10299999999999999</v>
      </c>
    </row>
    <row r="85" spans="1:6" x14ac:dyDescent="0.25">
      <c r="A85" s="406"/>
      <c r="B85" s="240">
        <v>2</v>
      </c>
      <c r="C85" s="240">
        <v>21</v>
      </c>
      <c r="D85" s="240" t="s">
        <v>20</v>
      </c>
      <c r="E85" s="390">
        <v>0.3</v>
      </c>
      <c r="F85" s="241">
        <v>0.113</v>
      </c>
    </row>
    <row r="86" spans="1:6" x14ac:dyDescent="0.25">
      <c r="A86" s="406"/>
      <c r="B86" s="240">
        <v>2</v>
      </c>
      <c r="C86" s="240">
        <v>22</v>
      </c>
      <c r="D86" s="240" t="s">
        <v>21</v>
      </c>
      <c r="E86" s="390">
        <v>0.1</v>
      </c>
      <c r="F86" s="241">
        <v>9.7000000000000003E-2</v>
      </c>
    </row>
    <row r="87" spans="1:6" x14ac:dyDescent="0.25">
      <c r="A87" s="406"/>
      <c r="B87" s="240">
        <v>2</v>
      </c>
      <c r="C87" s="240">
        <v>23</v>
      </c>
      <c r="D87" s="240" t="s">
        <v>21</v>
      </c>
      <c r="E87" s="390">
        <v>0.2</v>
      </c>
      <c r="F87" s="241">
        <v>0.107</v>
      </c>
    </row>
    <row r="88" spans="1:6" x14ac:dyDescent="0.25">
      <c r="A88" s="406"/>
      <c r="B88" s="240">
        <v>2</v>
      </c>
      <c r="C88" s="240">
        <v>24</v>
      </c>
      <c r="D88" s="240" t="s">
        <v>21</v>
      </c>
      <c r="E88" s="390">
        <v>0.3</v>
      </c>
      <c r="F88" s="241">
        <v>0.11700000000000001</v>
      </c>
    </row>
    <row r="89" spans="1:6" x14ac:dyDescent="0.25">
      <c r="A89" s="406"/>
      <c r="B89" s="240">
        <v>2</v>
      </c>
      <c r="C89" s="240">
        <v>25</v>
      </c>
      <c r="D89" s="240" t="s">
        <v>22</v>
      </c>
      <c r="E89" s="390">
        <v>0.1</v>
      </c>
      <c r="F89" s="241">
        <v>0.1</v>
      </c>
    </row>
    <row r="90" spans="1:6" x14ac:dyDescent="0.25">
      <c r="A90" s="406"/>
      <c r="B90" s="240">
        <v>2</v>
      </c>
      <c r="C90" s="240">
        <v>26</v>
      </c>
      <c r="D90" s="240" t="s">
        <v>22</v>
      </c>
      <c r="E90" s="390">
        <v>0.2</v>
      </c>
      <c r="F90" s="241">
        <v>0.11</v>
      </c>
    </row>
    <row r="91" spans="1:6" x14ac:dyDescent="0.25">
      <c r="A91" s="406"/>
      <c r="B91" s="240">
        <v>2</v>
      </c>
      <c r="C91" s="240">
        <v>27</v>
      </c>
      <c r="D91" s="240" t="s">
        <v>22</v>
      </c>
      <c r="E91" s="390">
        <v>0.3</v>
      </c>
      <c r="F91" s="241">
        <v>0.121</v>
      </c>
    </row>
    <row r="92" spans="1:6" x14ac:dyDescent="0.25">
      <c r="A92" s="406"/>
      <c r="B92" s="240">
        <v>2</v>
      </c>
      <c r="C92" s="240">
        <v>28</v>
      </c>
      <c r="D92" s="240" t="s">
        <v>23</v>
      </c>
      <c r="E92" s="390">
        <v>0.3</v>
      </c>
      <c r="F92" s="241">
        <v>0.125</v>
      </c>
    </row>
    <row r="93" spans="1:6" x14ac:dyDescent="0.25">
      <c r="A93" s="406"/>
      <c r="B93" s="240">
        <v>2</v>
      </c>
      <c r="C93" s="240">
        <v>29</v>
      </c>
      <c r="D93" s="240" t="s">
        <v>23</v>
      </c>
      <c r="E93" s="390">
        <v>0.5</v>
      </c>
      <c r="F93" s="241">
        <v>0.14799999999999999</v>
      </c>
    </row>
    <row r="94" spans="1:6" x14ac:dyDescent="0.25">
      <c r="A94" s="406"/>
      <c r="B94" s="240">
        <v>2</v>
      </c>
      <c r="C94" s="240">
        <v>30</v>
      </c>
      <c r="D94" s="240" t="s">
        <v>23</v>
      </c>
      <c r="E94" s="390">
        <v>0.7</v>
      </c>
      <c r="F94" s="241">
        <v>0.17100000000000001</v>
      </c>
    </row>
    <row r="95" spans="1:6" x14ac:dyDescent="0.25">
      <c r="A95" s="406"/>
      <c r="B95" s="240" t="s">
        <v>230</v>
      </c>
      <c r="C95" s="240">
        <v>31</v>
      </c>
      <c r="D95" s="240" t="s">
        <v>82</v>
      </c>
      <c r="E95" s="390">
        <v>1</v>
      </c>
      <c r="F95" s="241">
        <v>0.60199999999999998</v>
      </c>
    </row>
    <row r="96" spans="1:6" x14ac:dyDescent="0.25">
      <c r="A96" s="406"/>
      <c r="B96" s="240" t="s">
        <v>230</v>
      </c>
      <c r="C96" s="240">
        <v>32</v>
      </c>
      <c r="D96" s="240" t="s">
        <v>82</v>
      </c>
      <c r="E96" s="390">
        <v>2</v>
      </c>
      <c r="F96" s="241">
        <v>1.173</v>
      </c>
    </row>
    <row r="97" spans="1:6" x14ac:dyDescent="0.25">
      <c r="A97" s="406"/>
      <c r="B97" s="240" t="s">
        <v>230</v>
      </c>
      <c r="C97" s="240">
        <v>33</v>
      </c>
      <c r="D97" s="240" t="s">
        <v>82</v>
      </c>
      <c r="E97" s="390">
        <v>3</v>
      </c>
      <c r="F97" s="241">
        <v>1.7450000000000001</v>
      </c>
    </row>
    <row r="98" spans="1:6" x14ac:dyDescent="0.25">
      <c r="A98" s="406"/>
      <c r="B98" s="240">
        <v>4</v>
      </c>
      <c r="C98" s="240">
        <v>34</v>
      </c>
      <c r="D98" s="240" t="s">
        <v>90</v>
      </c>
      <c r="E98" s="390">
        <v>1</v>
      </c>
      <c r="F98" s="241">
        <v>0.38</v>
      </c>
    </row>
    <row r="99" spans="1:6" x14ac:dyDescent="0.25">
      <c r="A99" s="406"/>
      <c r="B99" s="240">
        <v>4</v>
      </c>
      <c r="C99" s="240">
        <v>35</v>
      </c>
      <c r="D99" s="240" t="s">
        <v>90</v>
      </c>
      <c r="E99" s="390">
        <v>2</v>
      </c>
      <c r="F99" s="241">
        <v>0.61099999999999999</v>
      </c>
    </row>
    <row r="100" spans="1:6" x14ac:dyDescent="0.25">
      <c r="A100" s="406"/>
      <c r="B100" s="240">
        <v>4</v>
      </c>
      <c r="C100" s="240">
        <v>36</v>
      </c>
      <c r="D100" s="240" t="s">
        <v>90</v>
      </c>
      <c r="E100" s="390">
        <v>3</v>
      </c>
      <c r="F100" s="241">
        <v>0.84199999999999997</v>
      </c>
    </row>
    <row r="101" spans="1:6" x14ac:dyDescent="0.25">
      <c r="A101" s="406"/>
      <c r="B101" s="240">
        <v>4</v>
      </c>
      <c r="C101" s="240">
        <v>37</v>
      </c>
      <c r="D101" s="240" t="s">
        <v>92</v>
      </c>
      <c r="E101" s="390">
        <v>1</v>
      </c>
      <c r="F101" s="241">
        <v>0.38100000000000001</v>
      </c>
    </row>
    <row r="102" spans="1:6" x14ac:dyDescent="0.25">
      <c r="A102" s="406"/>
      <c r="B102" s="240">
        <v>4</v>
      </c>
      <c r="C102" s="240">
        <v>38</v>
      </c>
      <c r="D102" s="240" t="s">
        <v>92</v>
      </c>
      <c r="E102" s="390">
        <v>2</v>
      </c>
      <c r="F102" s="241">
        <v>0.621</v>
      </c>
    </row>
    <row r="103" spans="1:6" x14ac:dyDescent="0.25">
      <c r="A103" s="406"/>
      <c r="B103" s="240">
        <v>4</v>
      </c>
      <c r="C103" s="240">
        <v>39</v>
      </c>
      <c r="D103" s="240" t="s">
        <v>92</v>
      </c>
      <c r="E103" s="390">
        <v>3</v>
      </c>
      <c r="F103" s="241">
        <v>0.86099999999999999</v>
      </c>
    </row>
    <row r="104" spans="1:6" x14ac:dyDescent="0.25">
      <c r="A104" s="406"/>
      <c r="B104" s="240" t="s">
        <v>145</v>
      </c>
      <c r="C104" s="240">
        <v>40</v>
      </c>
      <c r="D104" s="240" t="s">
        <v>93</v>
      </c>
      <c r="E104" s="390">
        <v>1</v>
      </c>
      <c r="F104" s="241">
        <v>0.501</v>
      </c>
    </row>
    <row r="105" spans="1:6" x14ac:dyDescent="0.25">
      <c r="A105" s="406"/>
      <c r="B105" s="240" t="s">
        <v>145</v>
      </c>
      <c r="C105" s="240">
        <v>41</v>
      </c>
      <c r="D105" s="240" t="s">
        <v>93</v>
      </c>
      <c r="E105" s="390">
        <v>2</v>
      </c>
      <c r="F105" s="241">
        <v>0.97799999999999998</v>
      </c>
    </row>
    <row r="106" spans="1:6" x14ac:dyDescent="0.25">
      <c r="A106" s="406"/>
      <c r="B106" s="240" t="s">
        <v>145</v>
      </c>
      <c r="C106" s="240">
        <v>42</v>
      </c>
      <c r="D106" s="240" t="s">
        <v>93</v>
      </c>
      <c r="E106" s="390">
        <v>3</v>
      </c>
      <c r="F106" s="241">
        <v>1.4550000000000001</v>
      </c>
    </row>
    <row r="107" spans="1:6" x14ac:dyDescent="0.25">
      <c r="A107" s="406"/>
      <c r="B107" s="240" t="s">
        <v>145</v>
      </c>
      <c r="C107" s="240">
        <v>43</v>
      </c>
      <c r="D107" s="240" t="s">
        <v>95</v>
      </c>
      <c r="E107" s="390">
        <v>1</v>
      </c>
      <c r="F107" s="241">
        <v>0.51500000000000001</v>
      </c>
    </row>
    <row r="108" spans="1:6" x14ac:dyDescent="0.25">
      <c r="A108" s="406"/>
      <c r="B108" s="240" t="s">
        <v>145</v>
      </c>
      <c r="C108" s="240">
        <v>44</v>
      </c>
      <c r="D108" s="240" t="s">
        <v>95</v>
      </c>
      <c r="E108" s="390">
        <v>2</v>
      </c>
      <c r="F108" s="241">
        <v>1.002</v>
      </c>
    </row>
    <row r="109" spans="1:6" x14ac:dyDescent="0.25">
      <c r="A109" s="406"/>
      <c r="B109" s="240" t="s">
        <v>145</v>
      </c>
      <c r="C109" s="240">
        <v>45</v>
      </c>
      <c r="D109" s="240" t="s">
        <v>95</v>
      </c>
      <c r="E109" s="390">
        <v>3</v>
      </c>
      <c r="F109" s="241">
        <v>1.49</v>
      </c>
    </row>
    <row r="110" spans="1:6" x14ac:dyDescent="0.25">
      <c r="A110" s="406"/>
      <c r="B110" s="240" t="s">
        <v>143</v>
      </c>
      <c r="C110" s="240">
        <v>46</v>
      </c>
      <c r="D110" s="240" t="s">
        <v>94</v>
      </c>
      <c r="E110" s="390">
        <v>1</v>
      </c>
      <c r="F110" s="241">
        <v>0.58199999999999996</v>
      </c>
    </row>
    <row r="111" spans="1:6" x14ac:dyDescent="0.25">
      <c r="A111" s="406"/>
      <c r="B111" s="240" t="s">
        <v>143</v>
      </c>
      <c r="C111" s="240">
        <v>47</v>
      </c>
      <c r="D111" s="240" t="s">
        <v>94</v>
      </c>
      <c r="E111" s="390">
        <v>2</v>
      </c>
      <c r="F111" s="241">
        <v>1.137</v>
      </c>
    </row>
    <row r="112" spans="1:6" x14ac:dyDescent="0.25">
      <c r="A112" s="406"/>
      <c r="B112" s="240" t="s">
        <v>143</v>
      </c>
      <c r="C112" s="240">
        <v>48</v>
      </c>
      <c r="D112" s="240" t="s">
        <v>94</v>
      </c>
      <c r="E112" s="390">
        <v>3</v>
      </c>
      <c r="F112" s="241">
        <v>1.6910000000000001</v>
      </c>
    </row>
    <row r="113" spans="1:6" x14ac:dyDescent="0.25">
      <c r="A113" s="406"/>
      <c r="B113" s="240" t="s">
        <v>143</v>
      </c>
      <c r="C113" s="240">
        <v>49</v>
      </c>
      <c r="D113" s="240" t="s">
        <v>96</v>
      </c>
      <c r="E113" s="390">
        <v>1</v>
      </c>
      <c r="F113" s="241">
        <v>0.56899999999999995</v>
      </c>
    </row>
    <row r="114" spans="1:6" x14ac:dyDescent="0.25">
      <c r="A114" s="406"/>
      <c r="B114" s="240" t="s">
        <v>143</v>
      </c>
      <c r="C114" s="240">
        <v>50</v>
      </c>
      <c r="D114" s="240" t="s">
        <v>96</v>
      </c>
      <c r="E114" s="390">
        <v>2</v>
      </c>
      <c r="F114" s="241">
        <v>1.1120000000000001</v>
      </c>
    </row>
    <row r="115" spans="1:6" x14ac:dyDescent="0.25">
      <c r="A115" s="406"/>
      <c r="B115" s="240" t="s">
        <v>143</v>
      </c>
      <c r="C115" s="240">
        <v>51</v>
      </c>
      <c r="D115" s="240" t="s">
        <v>96</v>
      </c>
      <c r="E115" s="390">
        <v>3</v>
      </c>
      <c r="F115" s="241">
        <v>1.655</v>
      </c>
    </row>
    <row r="116" spans="1:6" x14ac:dyDescent="0.25">
      <c r="A116" s="406"/>
      <c r="B116" s="240" t="s">
        <v>143</v>
      </c>
      <c r="C116" s="240">
        <v>52</v>
      </c>
      <c r="D116" s="240" t="s">
        <v>231</v>
      </c>
      <c r="E116" s="390">
        <v>1</v>
      </c>
      <c r="F116" s="241">
        <v>0.58699999999999997</v>
      </c>
    </row>
    <row r="117" spans="1:6" x14ac:dyDescent="0.25">
      <c r="A117" s="406"/>
      <c r="B117" s="240" t="s">
        <v>143</v>
      </c>
      <c r="C117" s="240">
        <v>53</v>
      </c>
      <c r="D117" s="240" t="s">
        <v>231</v>
      </c>
      <c r="E117" s="390">
        <v>2</v>
      </c>
      <c r="F117" s="241">
        <v>1.147</v>
      </c>
    </row>
    <row r="118" spans="1:6" x14ac:dyDescent="0.25">
      <c r="A118" s="406"/>
      <c r="B118" s="240" t="s">
        <v>143</v>
      </c>
      <c r="C118" s="240">
        <v>54</v>
      </c>
      <c r="D118" s="240" t="s">
        <v>231</v>
      </c>
      <c r="E118" s="390">
        <v>3</v>
      </c>
      <c r="F118" s="241">
        <v>1.7070000000000001</v>
      </c>
    </row>
    <row r="119" spans="1:6" x14ac:dyDescent="0.25">
      <c r="A119" s="406"/>
      <c r="B119" s="240" t="s">
        <v>143</v>
      </c>
      <c r="C119" s="240">
        <v>55</v>
      </c>
      <c r="D119" s="240" t="s">
        <v>232</v>
      </c>
      <c r="E119" s="390">
        <v>1</v>
      </c>
      <c r="F119" s="241">
        <v>0.63200000000000001</v>
      </c>
    </row>
    <row r="120" spans="1:6" x14ac:dyDescent="0.25">
      <c r="A120" s="406"/>
      <c r="B120" s="240" t="s">
        <v>143</v>
      </c>
      <c r="C120" s="240">
        <v>56</v>
      </c>
      <c r="D120" s="240" t="s">
        <v>232</v>
      </c>
      <c r="E120" s="390">
        <v>2</v>
      </c>
      <c r="F120" s="241">
        <v>1.2330000000000001</v>
      </c>
    </row>
    <row r="121" spans="1:6" x14ac:dyDescent="0.25">
      <c r="A121" s="406"/>
      <c r="B121" s="240" t="s">
        <v>143</v>
      </c>
      <c r="C121" s="240">
        <v>57</v>
      </c>
      <c r="D121" s="240" t="s">
        <v>232</v>
      </c>
      <c r="E121" s="390">
        <v>3</v>
      </c>
      <c r="F121" s="241">
        <v>1.8340000000000001</v>
      </c>
    </row>
    <row r="122" spans="1:6" x14ac:dyDescent="0.25">
      <c r="A122" s="406"/>
      <c r="B122" s="240" t="s">
        <v>143</v>
      </c>
      <c r="C122" s="240">
        <v>58</v>
      </c>
      <c r="D122" s="240" t="s">
        <v>233</v>
      </c>
      <c r="E122" s="390">
        <v>1</v>
      </c>
      <c r="F122" s="241">
        <v>0.60099999999999998</v>
      </c>
    </row>
    <row r="123" spans="1:6" x14ac:dyDescent="0.25">
      <c r="A123" s="406"/>
      <c r="B123" s="240" t="s">
        <v>143</v>
      </c>
      <c r="C123" s="240">
        <v>59</v>
      </c>
      <c r="D123" s="240" t="s">
        <v>233</v>
      </c>
      <c r="E123" s="390">
        <v>2</v>
      </c>
      <c r="F123" s="241">
        <v>1.1719999999999999</v>
      </c>
    </row>
    <row r="124" spans="1:6" x14ac:dyDescent="0.25">
      <c r="A124" s="406"/>
      <c r="B124" s="240" t="s">
        <v>143</v>
      </c>
      <c r="C124" s="240">
        <v>60</v>
      </c>
      <c r="D124" s="240" t="s">
        <v>233</v>
      </c>
      <c r="E124" s="390">
        <v>3</v>
      </c>
      <c r="F124" s="241">
        <v>1.744</v>
      </c>
    </row>
    <row r="125" spans="1:6" x14ac:dyDescent="0.25">
      <c r="A125" s="406"/>
      <c r="B125" s="240" t="s">
        <v>143</v>
      </c>
      <c r="C125" s="240">
        <v>61</v>
      </c>
      <c r="D125" s="240" t="s">
        <v>234</v>
      </c>
      <c r="E125" s="390">
        <v>1</v>
      </c>
      <c r="F125" s="241">
        <v>0.60699999999999998</v>
      </c>
    </row>
    <row r="126" spans="1:6" x14ac:dyDescent="0.25">
      <c r="A126" s="406"/>
      <c r="B126" s="240" t="s">
        <v>143</v>
      </c>
      <c r="C126" s="240">
        <v>62</v>
      </c>
      <c r="D126" s="240" t="s">
        <v>234</v>
      </c>
      <c r="E126" s="390">
        <v>2</v>
      </c>
      <c r="F126" s="241">
        <v>1.1850000000000001</v>
      </c>
    </row>
    <row r="127" spans="1:6" x14ac:dyDescent="0.25">
      <c r="A127" s="406"/>
      <c r="B127" s="240" t="s">
        <v>143</v>
      </c>
      <c r="C127" s="240">
        <v>63</v>
      </c>
      <c r="D127" s="240" t="s">
        <v>234</v>
      </c>
      <c r="E127" s="390">
        <v>3</v>
      </c>
      <c r="F127" s="241">
        <v>1.762</v>
      </c>
    </row>
    <row r="128" spans="1:6" x14ac:dyDescent="0.25">
      <c r="A128" s="406"/>
      <c r="B128" s="240" t="s">
        <v>143</v>
      </c>
      <c r="C128" s="240">
        <v>64</v>
      </c>
      <c r="D128" s="240" t="s">
        <v>235</v>
      </c>
      <c r="E128" s="390">
        <v>1</v>
      </c>
      <c r="F128" s="241">
        <v>0.61499999999999999</v>
      </c>
    </row>
    <row r="129" spans="1:6" x14ac:dyDescent="0.25">
      <c r="A129" s="406"/>
      <c r="B129" s="240" t="s">
        <v>143</v>
      </c>
      <c r="C129" s="240">
        <v>65</v>
      </c>
      <c r="D129" s="240" t="s">
        <v>235</v>
      </c>
      <c r="E129" s="390">
        <v>2</v>
      </c>
      <c r="F129" s="241">
        <v>1.198</v>
      </c>
    </row>
    <row r="130" spans="1:6" x14ac:dyDescent="0.25">
      <c r="A130" s="406"/>
      <c r="B130" s="240" t="s">
        <v>143</v>
      </c>
      <c r="C130" s="240">
        <v>66</v>
      </c>
      <c r="D130" s="240" t="s">
        <v>270</v>
      </c>
      <c r="E130" s="390">
        <v>3</v>
      </c>
      <c r="F130" s="241">
        <v>1.782</v>
      </c>
    </row>
    <row r="131" spans="1:6" x14ac:dyDescent="0.25">
      <c r="A131" s="406"/>
      <c r="B131" s="240" t="s">
        <v>143</v>
      </c>
      <c r="C131" s="240">
        <v>67</v>
      </c>
      <c r="D131" s="240" t="s">
        <v>236</v>
      </c>
      <c r="E131" s="390">
        <v>1</v>
      </c>
      <c r="F131" s="241">
        <v>0.63200000000000001</v>
      </c>
    </row>
    <row r="132" spans="1:6" x14ac:dyDescent="0.25">
      <c r="A132" s="406"/>
      <c r="B132" s="240" t="s">
        <v>143</v>
      </c>
      <c r="C132" s="240">
        <v>68</v>
      </c>
      <c r="D132" s="240" t="s">
        <v>236</v>
      </c>
      <c r="E132" s="390">
        <v>2</v>
      </c>
      <c r="F132" s="241">
        <v>1.2330000000000001</v>
      </c>
    </row>
    <row r="133" spans="1:6" x14ac:dyDescent="0.25">
      <c r="A133" s="406"/>
      <c r="B133" s="240" t="s">
        <v>143</v>
      </c>
      <c r="C133" s="240">
        <v>69</v>
      </c>
      <c r="D133" s="240" t="s">
        <v>236</v>
      </c>
      <c r="E133" s="390">
        <v>3</v>
      </c>
      <c r="F133" s="241">
        <v>1.8340000000000001</v>
      </c>
    </row>
    <row r="134" spans="1:6" x14ac:dyDescent="0.25">
      <c r="A134" s="406"/>
      <c r="B134" s="240" t="s">
        <v>143</v>
      </c>
      <c r="C134" s="240">
        <v>70</v>
      </c>
      <c r="D134" s="240" t="s">
        <v>237</v>
      </c>
      <c r="E134" s="390">
        <v>1</v>
      </c>
      <c r="F134" s="241">
        <v>0.64600000000000002</v>
      </c>
    </row>
    <row r="135" spans="1:6" x14ac:dyDescent="0.25">
      <c r="A135" s="406"/>
      <c r="B135" s="240" t="s">
        <v>143</v>
      </c>
      <c r="C135" s="240">
        <v>71</v>
      </c>
      <c r="D135" s="240" t="s">
        <v>237</v>
      </c>
      <c r="E135" s="390">
        <v>2</v>
      </c>
      <c r="F135" s="241">
        <v>1.2589999999999999</v>
      </c>
    </row>
    <row r="136" spans="1:6" ht="15.75" thickBot="1" x14ac:dyDescent="0.3">
      <c r="A136" s="407"/>
      <c r="B136" s="259" t="s">
        <v>143</v>
      </c>
      <c r="C136" s="259">
        <v>72</v>
      </c>
      <c r="D136" s="259" t="s">
        <v>237</v>
      </c>
      <c r="E136" s="391">
        <v>3</v>
      </c>
      <c r="F136" s="260">
        <v>1.871</v>
      </c>
    </row>
    <row r="137" spans="1:6" x14ac:dyDescent="0.25">
      <c r="A137" s="405">
        <v>3</v>
      </c>
      <c r="B137" s="277">
        <v>1</v>
      </c>
      <c r="C137" s="278">
        <v>1</v>
      </c>
      <c r="D137" s="277" t="s">
        <v>238</v>
      </c>
      <c r="E137" s="392">
        <v>1</v>
      </c>
      <c r="F137" s="279">
        <v>0.44800000000000001</v>
      </c>
    </row>
    <row r="138" spans="1:6" x14ac:dyDescent="0.25">
      <c r="A138" s="406"/>
      <c r="B138" s="240">
        <v>1</v>
      </c>
      <c r="C138" s="280">
        <v>2</v>
      </c>
      <c r="D138" s="240" t="s">
        <v>238</v>
      </c>
      <c r="E138" s="390">
        <v>2</v>
      </c>
      <c r="F138" s="241">
        <v>0.89300000000000002</v>
      </c>
    </row>
    <row r="139" spans="1:6" x14ac:dyDescent="0.25">
      <c r="A139" s="406"/>
      <c r="B139" s="240">
        <v>1</v>
      </c>
      <c r="C139" s="280">
        <v>3</v>
      </c>
      <c r="D139" s="240" t="s">
        <v>238</v>
      </c>
      <c r="E139" s="390">
        <v>3</v>
      </c>
      <c r="F139" s="241">
        <v>1.339</v>
      </c>
    </row>
    <row r="140" spans="1:6" x14ac:dyDescent="0.25">
      <c r="A140" s="406"/>
      <c r="B140" s="240">
        <v>2</v>
      </c>
      <c r="C140" s="280">
        <v>4</v>
      </c>
      <c r="D140" s="240" t="s">
        <v>271</v>
      </c>
      <c r="E140" s="390">
        <v>0.1</v>
      </c>
      <c r="F140" s="241">
        <v>8.5000000000000006E-2</v>
      </c>
    </row>
    <row r="141" spans="1:6" x14ac:dyDescent="0.25">
      <c r="A141" s="406"/>
      <c r="B141" s="240">
        <v>2</v>
      </c>
      <c r="C141" s="280">
        <v>5</v>
      </c>
      <c r="D141" s="240" t="s">
        <v>271</v>
      </c>
      <c r="E141" s="390">
        <v>0.2</v>
      </c>
      <c r="F141" s="241">
        <v>9.4E-2</v>
      </c>
    </row>
    <row r="142" spans="1:6" x14ac:dyDescent="0.25">
      <c r="A142" s="406"/>
      <c r="B142" s="240">
        <v>2</v>
      </c>
      <c r="C142" s="280">
        <v>6</v>
      </c>
      <c r="D142" s="240" t="s">
        <v>271</v>
      </c>
      <c r="E142" s="390">
        <v>0.3</v>
      </c>
      <c r="F142" s="241">
        <v>0.10199999999999999</v>
      </c>
    </row>
    <row r="143" spans="1:6" x14ac:dyDescent="0.25">
      <c r="A143" s="406"/>
      <c r="B143" s="240">
        <v>2</v>
      </c>
      <c r="C143" s="280">
        <v>7</v>
      </c>
      <c r="D143" s="240" t="s">
        <v>272</v>
      </c>
      <c r="E143" s="390">
        <v>0.1</v>
      </c>
      <c r="F143" s="241">
        <v>8.2000000000000003E-2</v>
      </c>
    </row>
    <row r="144" spans="1:6" x14ac:dyDescent="0.25">
      <c r="A144" s="406"/>
      <c r="B144" s="240">
        <v>2</v>
      </c>
      <c r="C144" s="280">
        <v>8</v>
      </c>
      <c r="D144" s="240" t="s">
        <v>272</v>
      </c>
      <c r="E144" s="390">
        <v>0.2</v>
      </c>
      <c r="F144" s="241">
        <v>0.09</v>
      </c>
    </row>
    <row r="145" spans="1:6" x14ac:dyDescent="0.25">
      <c r="A145" s="406"/>
      <c r="B145" s="240">
        <v>2</v>
      </c>
      <c r="C145" s="280">
        <v>9</v>
      </c>
      <c r="D145" s="240" t="s">
        <v>272</v>
      </c>
      <c r="E145" s="390">
        <v>0.3</v>
      </c>
      <c r="F145" s="241">
        <v>9.8000000000000004E-2</v>
      </c>
    </row>
    <row r="146" spans="1:6" x14ac:dyDescent="0.25">
      <c r="A146" s="406"/>
      <c r="B146" s="240">
        <v>2</v>
      </c>
      <c r="C146" s="280">
        <v>10</v>
      </c>
      <c r="D146" s="240" t="s">
        <v>273</v>
      </c>
      <c r="E146" s="390">
        <v>0.1</v>
      </c>
      <c r="F146" s="241">
        <v>8.6999999999999994E-2</v>
      </c>
    </row>
    <row r="147" spans="1:6" x14ac:dyDescent="0.25">
      <c r="A147" s="406"/>
      <c r="B147" s="240">
        <v>2</v>
      </c>
      <c r="C147" s="280">
        <v>11</v>
      </c>
      <c r="D147" s="240" t="s">
        <v>273</v>
      </c>
      <c r="E147" s="390">
        <v>0.2</v>
      </c>
      <c r="F147" s="241">
        <v>9.6000000000000002E-2</v>
      </c>
    </row>
    <row r="148" spans="1:6" x14ac:dyDescent="0.25">
      <c r="A148" s="406"/>
      <c r="B148" s="240">
        <v>2</v>
      </c>
      <c r="C148" s="280">
        <v>12</v>
      </c>
      <c r="D148" s="240" t="s">
        <v>273</v>
      </c>
      <c r="E148" s="390">
        <v>0.3</v>
      </c>
      <c r="F148" s="241">
        <v>0.104</v>
      </c>
    </row>
    <row r="149" spans="1:6" x14ac:dyDescent="0.25">
      <c r="A149" s="406"/>
      <c r="B149" s="240">
        <v>2</v>
      </c>
      <c r="C149" s="280">
        <v>13</v>
      </c>
      <c r="D149" s="240" t="s">
        <v>274</v>
      </c>
      <c r="E149" s="390">
        <v>0.1</v>
      </c>
      <c r="F149" s="241">
        <v>0.09</v>
      </c>
    </row>
    <row r="150" spans="1:6" x14ac:dyDescent="0.25">
      <c r="A150" s="406"/>
      <c r="B150" s="240">
        <v>2</v>
      </c>
      <c r="C150" s="280">
        <v>14</v>
      </c>
      <c r="D150" s="240" t="s">
        <v>274</v>
      </c>
      <c r="E150" s="390">
        <v>0.2</v>
      </c>
      <c r="F150" s="241">
        <v>9.8000000000000004E-2</v>
      </c>
    </row>
    <row r="151" spans="1:6" x14ac:dyDescent="0.25">
      <c r="A151" s="406"/>
      <c r="B151" s="240">
        <v>2</v>
      </c>
      <c r="C151" s="280">
        <v>15</v>
      </c>
      <c r="D151" s="240" t="s">
        <v>274</v>
      </c>
      <c r="E151" s="390">
        <v>0.3</v>
      </c>
      <c r="F151" s="241">
        <v>0.107</v>
      </c>
    </row>
    <row r="152" spans="1:6" x14ac:dyDescent="0.25">
      <c r="A152" s="406"/>
      <c r="B152" s="240">
        <v>2</v>
      </c>
      <c r="C152" s="280">
        <v>16</v>
      </c>
      <c r="D152" s="240" t="s">
        <v>275</v>
      </c>
      <c r="E152" s="390">
        <v>0.1</v>
      </c>
      <c r="F152" s="241">
        <v>9.1999999999999998E-2</v>
      </c>
    </row>
    <row r="153" spans="1:6" x14ac:dyDescent="0.25">
      <c r="A153" s="406"/>
      <c r="B153" s="240">
        <v>2</v>
      </c>
      <c r="C153" s="280">
        <v>17</v>
      </c>
      <c r="D153" s="240" t="s">
        <v>275</v>
      </c>
      <c r="E153" s="390">
        <v>0.2</v>
      </c>
      <c r="F153" s="241">
        <v>0.10100000000000001</v>
      </c>
    </row>
    <row r="154" spans="1:6" x14ac:dyDescent="0.25">
      <c r="A154" s="406"/>
      <c r="B154" s="240">
        <v>2</v>
      </c>
      <c r="C154" s="280">
        <v>18</v>
      </c>
      <c r="D154" s="240" t="s">
        <v>275</v>
      </c>
      <c r="E154" s="390">
        <v>0.3</v>
      </c>
      <c r="F154" s="241">
        <v>0.111</v>
      </c>
    </row>
    <row r="155" spans="1:6" x14ac:dyDescent="0.25">
      <c r="A155" s="406"/>
      <c r="B155" s="240">
        <v>2</v>
      </c>
      <c r="C155" s="280">
        <v>19</v>
      </c>
      <c r="D155" s="240" t="s">
        <v>244</v>
      </c>
      <c r="E155" s="390">
        <v>0.1</v>
      </c>
      <c r="F155" s="241">
        <v>9.7000000000000003E-2</v>
      </c>
    </row>
    <row r="156" spans="1:6" x14ac:dyDescent="0.25">
      <c r="A156" s="406"/>
      <c r="B156" s="240">
        <v>2</v>
      </c>
      <c r="C156" s="280">
        <v>20</v>
      </c>
      <c r="D156" s="240" t="s">
        <v>244</v>
      </c>
      <c r="E156" s="390">
        <v>0.2</v>
      </c>
      <c r="F156" s="241">
        <v>0.107</v>
      </c>
    </row>
    <row r="157" spans="1:6" x14ac:dyDescent="0.25">
      <c r="A157" s="406"/>
      <c r="B157" s="240">
        <v>2</v>
      </c>
      <c r="C157" s="280">
        <v>21</v>
      </c>
      <c r="D157" s="240" t="s">
        <v>244</v>
      </c>
      <c r="E157" s="390">
        <v>0.3</v>
      </c>
      <c r="F157" s="241">
        <v>0.11700000000000001</v>
      </c>
    </row>
    <row r="158" spans="1:6" x14ac:dyDescent="0.25">
      <c r="A158" s="406"/>
      <c r="B158" s="240">
        <v>2</v>
      </c>
      <c r="C158" s="280">
        <v>22</v>
      </c>
      <c r="D158" s="240" t="s">
        <v>245</v>
      </c>
      <c r="E158" s="390">
        <v>0.3</v>
      </c>
      <c r="F158" s="241">
        <v>0.123</v>
      </c>
    </row>
    <row r="159" spans="1:6" x14ac:dyDescent="0.25">
      <c r="A159" s="406"/>
      <c r="B159" s="240">
        <v>2</v>
      </c>
      <c r="C159" s="280">
        <v>23</v>
      </c>
      <c r="D159" s="240" t="s">
        <v>245</v>
      </c>
      <c r="E159" s="390">
        <v>0.5</v>
      </c>
      <c r="F159" s="241">
        <v>0.14499999999999999</v>
      </c>
    </row>
    <row r="160" spans="1:6" x14ac:dyDescent="0.25">
      <c r="A160" s="406"/>
      <c r="B160" s="240">
        <v>2</v>
      </c>
      <c r="C160" s="280">
        <v>24</v>
      </c>
      <c r="D160" s="240" t="s">
        <v>245</v>
      </c>
      <c r="E160" s="390">
        <v>0.7</v>
      </c>
      <c r="F160" s="241">
        <v>0.16700000000000001</v>
      </c>
    </row>
    <row r="161" spans="1:6" x14ac:dyDescent="0.25">
      <c r="A161" s="406"/>
      <c r="B161" s="240" t="s">
        <v>230</v>
      </c>
      <c r="C161" s="280">
        <v>25</v>
      </c>
      <c r="D161" s="240" t="s">
        <v>246</v>
      </c>
      <c r="E161" s="390">
        <v>1</v>
      </c>
      <c r="F161" s="241">
        <v>0.59</v>
      </c>
    </row>
    <row r="162" spans="1:6" x14ac:dyDescent="0.25">
      <c r="A162" s="406"/>
      <c r="B162" s="240" t="s">
        <v>230</v>
      </c>
      <c r="C162" s="280">
        <v>26</v>
      </c>
      <c r="D162" s="240" t="s">
        <v>246</v>
      </c>
      <c r="E162" s="390">
        <v>2</v>
      </c>
      <c r="F162" s="241">
        <v>1.1499999999999999</v>
      </c>
    </row>
    <row r="163" spans="1:6" x14ac:dyDescent="0.25">
      <c r="A163" s="406"/>
      <c r="B163" s="240" t="s">
        <v>230</v>
      </c>
      <c r="C163" s="280">
        <v>27</v>
      </c>
      <c r="D163" s="240" t="s">
        <v>246</v>
      </c>
      <c r="E163" s="390">
        <v>3</v>
      </c>
      <c r="F163" s="241">
        <v>1.71</v>
      </c>
    </row>
    <row r="164" spans="1:6" x14ac:dyDescent="0.25">
      <c r="A164" s="406"/>
      <c r="B164" s="240" t="s">
        <v>230</v>
      </c>
      <c r="C164" s="280">
        <v>28</v>
      </c>
      <c r="D164" s="240" t="s">
        <v>247</v>
      </c>
      <c r="E164" s="390">
        <v>1</v>
      </c>
      <c r="F164" s="241">
        <v>0.57099999999999995</v>
      </c>
    </row>
    <row r="165" spans="1:6" x14ac:dyDescent="0.25">
      <c r="A165" s="406"/>
      <c r="B165" s="240" t="s">
        <v>230</v>
      </c>
      <c r="C165" s="280">
        <v>29</v>
      </c>
      <c r="D165" s="240" t="s">
        <v>247</v>
      </c>
      <c r="E165" s="390">
        <v>2</v>
      </c>
      <c r="F165" s="241">
        <v>1.1140000000000001</v>
      </c>
    </row>
    <row r="166" spans="1:6" x14ac:dyDescent="0.25">
      <c r="A166" s="406"/>
      <c r="B166" s="240" t="s">
        <v>230</v>
      </c>
      <c r="C166" s="280">
        <v>30</v>
      </c>
      <c r="D166" s="240" t="s">
        <v>247</v>
      </c>
      <c r="E166" s="390">
        <v>3</v>
      </c>
      <c r="F166" s="241">
        <v>1.657</v>
      </c>
    </row>
    <row r="167" spans="1:6" x14ac:dyDescent="0.25">
      <c r="A167" s="406"/>
      <c r="B167" s="240" t="s">
        <v>227</v>
      </c>
      <c r="C167" s="280">
        <v>31</v>
      </c>
      <c r="D167" s="240" t="s">
        <v>248</v>
      </c>
      <c r="E167" s="390">
        <v>1</v>
      </c>
      <c r="F167" s="241">
        <v>0.49299999999999999</v>
      </c>
    </row>
    <row r="168" spans="1:6" x14ac:dyDescent="0.25">
      <c r="A168" s="406"/>
      <c r="B168" s="240" t="s">
        <v>227</v>
      </c>
      <c r="C168" s="280">
        <v>32</v>
      </c>
      <c r="D168" s="240" t="s">
        <v>248</v>
      </c>
      <c r="E168" s="390">
        <v>2</v>
      </c>
      <c r="F168" s="241">
        <v>0.96</v>
      </c>
    </row>
    <row r="169" spans="1:6" x14ac:dyDescent="0.25">
      <c r="A169" s="406"/>
      <c r="B169" s="240" t="s">
        <v>227</v>
      </c>
      <c r="C169" s="280">
        <v>33</v>
      </c>
      <c r="D169" s="240" t="s">
        <v>248</v>
      </c>
      <c r="E169" s="390">
        <v>3</v>
      </c>
      <c r="F169" s="241">
        <v>1.4259999999999999</v>
      </c>
    </row>
    <row r="170" spans="1:6" x14ac:dyDescent="0.25">
      <c r="A170" s="406"/>
      <c r="B170" s="240">
        <v>4</v>
      </c>
      <c r="C170" s="280">
        <v>34</v>
      </c>
      <c r="D170" s="240" t="s">
        <v>249</v>
      </c>
      <c r="E170" s="390">
        <v>1</v>
      </c>
      <c r="F170" s="241">
        <v>0.57199999999999995</v>
      </c>
    </row>
    <row r="171" spans="1:6" x14ac:dyDescent="0.25">
      <c r="A171" s="406"/>
      <c r="B171" s="240">
        <v>4</v>
      </c>
      <c r="C171" s="280">
        <v>35</v>
      </c>
      <c r="D171" s="240" t="s">
        <v>249</v>
      </c>
      <c r="E171" s="390">
        <v>2</v>
      </c>
      <c r="F171" s="241">
        <v>0.873</v>
      </c>
    </row>
    <row r="172" spans="1:6" x14ac:dyDescent="0.25">
      <c r="A172" s="406"/>
      <c r="B172" s="240">
        <v>4</v>
      </c>
      <c r="C172" s="280">
        <v>36</v>
      </c>
      <c r="D172" s="240" t="s">
        <v>249</v>
      </c>
      <c r="E172" s="390">
        <v>3</v>
      </c>
      <c r="F172" s="241">
        <v>1.1739999999999999</v>
      </c>
    </row>
    <row r="173" spans="1:6" x14ac:dyDescent="0.25">
      <c r="A173" s="406"/>
      <c r="B173" s="240" t="s">
        <v>143</v>
      </c>
      <c r="C173" s="280">
        <v>37</v>
      </c>
      <c r="D173" s="240" t="s">
        <v>250</v>
      </c>
      <c r="E173" s="390">
        <v>1</v>
      </c>
      <c r="F173" s="241">
        <v>0.56899999999999995</v>
      </c>
    </row>
    <row r="174" spans="1:6" x14ac:dyDescent="0.25">
      <c r="A174" s="406"/>
      <c r="B174" s="240" t="s">
        <v>143</v>
      </c>
      <c r="C174" s="280">
        <v>38</v>
      </c>
      <c r="D174" s="240" t="s">
        <v>250</v>
      </c>
      <c r="E174" s="390">
        <v>2</v>
      </c>
      <c r="F174" s="241">
        <v>1.1120000000000001</v>
      </c>
    </row>
    <row r="175" spans="1:6" x14ac:dyDescent="0.25">
      <c r="A175" s="406"/>
      <c r="B175" s="240" t="s">
        <v>143</v>
      </c>
      <c r="C175" s="280">
        <v>39</v>
      </c>
      <c r="D175" s="240" t="s">
        <v>250</v>
      </c>
      <c r="E175" s="390">
        <v>3</v>
      </c>
      <c r="F175" s="241">
        <v>1.655</v>
      </c>
    </row>
    <row r="176" spans="1:6" x14ac:dyDescent="0.25">
      <c r="A176" s="406"/>
      <c r="B176" s="240" t="s">
        <v>143</v>
      </c>
      <c r="C176" s="280">
        <v>40</v>
      </c>
      <c r="D176" s="240" t="s">
        <v>251</v>
      </c>
      <c r="E176" s="390">
        <v>1</v>
      </c>
      <c r="F176" s="241">
        <v>0.58199999999999996</v>
      </c>
    </row>
    <row r="177" spans="1:6" x14ac:dyDescent="0.25">
      <c r="A177" s="406"/>
      <c r="B177" s="240" t="s">
        <v>143</v>
      </c>
      <c r="C177" s="280">
        <v>41</v>
      </c>
      <c r="D177" s="240" t="s">
        <v>251</v>
      </c>
      <c r="E177" s="390">
        <v>2</v>
      </c>
      <c r="F177" s="241">
        <v>1.137</v>
      </c>
    </row>
    <row r="178" spans="1:6" x14ac:dyDescent="0.25">
      <c r="A178" s="406"/>
      <c r="B178" s="240" t="s">
        <v>143</v>
      </c>
      <c r="C178" s="280">
        <v>42</v>
      </c>
      <c r="D178" s="240" t="s">
        <v>251</v>
      </c>
      <c r="E178" s="390">
        <v>3</v>
      </c>
      <c r="F178" s="241">
        <v>1.6910000000000001</v>
      </c>
    </row>
    <row r="179" spans="1:6" x14ac:dyDescent="0.25">
      <c r="A179" s="406"/>
      <c r="B179" s="240" t="s">
        <v>143</v>
      </c>
      <c r="C179" s="280">
        <v>43</v>
      </c>
      <c r="D179" s="240" t="s">
        <v>252</v>
      </c>
      <c r="E179" s="390">
        <v>1</v>
      </c>
      <c r="F179" s="241">
        <v>0.57599999999999996</v>
      </c>
    </row>
    <row r="180" spans="1:6" x14ac:dyDescent="0.25">
      <c r="A180" s="406"/>
      <c r="B180" s="240" t="s">
        <v>143</v>
      </c>
      <c r="C180" s="280">
        <v>44</v>
      </c>
      <c r="D180" s="240" t="s">
        <v>252</v>
      </c>
      <c r="E180" s="390">
        <v>2</v>
      </c>
      <c r="F180" s="241">
        <v>1.1240000000000001</v>
      </c>
    </row>
    <row r="181" spans="1:6" x14ac:dyDescent="0.25">
      <c r="A181" s="406"/>
      <c r="B181" s="240" t="s">
        <v>143</v>
      </c>
      <c r="C181" s="280">
        <v>45</v>
      </c>
      <c r="D181" s="240" t="s">
        <v>252</v>
      </c>
      <c r="E181" s="390">
        <v>3</v>
      </c>
      <c r="F181" s="241">
        <v>1.673</v>
      </c>
    </row>
    <row r="182" spans="1:6" x14ac:dyDescent="0.25">
      <c r="A182" s="406"/>
      <c r="B182" s="240" t="s">
        <v>145</v>
      </c>
      <c r="C182" s="280">
        <v>46</v>
      </c>
      <c r="D182" s="240" t="s">
        <v>253</v>
      </c>
      <c r="E182" s="390">
        <v>1</v>
      </c>
      <c r="F182" s="241">
        <v>0.53</v>
      </c>
    </row>
    <row r="183" spans="1:6" x14ac:dyDescent="0.25">
      <c r="A183" s="406"/>
      <c r="B183" s="240" t="s">
        <v>145</v>
      </c>
      <c r="C183" s="280">
        <v>47</v>
      </c>
      <c r="D183" s="240" t="s">
        <v>253</v>
      </c>
      <c r="E183" s="390">
        <v>2</v>
      </c>
      <c r="F183" s="241">
        <v>1.034</v>
      </c>
    </row>
    <row r="184" spans="1:6" x14ac:dyDescent="0.25">
      <c r="A184" s="406"/>
      <c r="B184" s="240" t="s">
        <v>145</v>
      </c>
      <c r="C184" s="280">
        <v>48</v>
      </c>
      <c r="D184" s="240" t="s">
        <v>253</v>
      </c>
      <c r="E184" s="390">
        <v>3</v>
      </c>
      <c r="F184" s="241">
        <v>1.538</v>
      </c>
    </row>
    <row r="185" spans="1:6" x14ac:dyDescent="0.25">
      <c r="A185" s="406"/>
      <c r="B185" s="240" t="s">
        <v>145</v>
      </c>
      <c r="C185" s="280">
        <v>49</v>
      </c>
      <c r="D185" s="240" t="s">
        <v>254</v>
      </c>
      <c r="E185" s="390">
        <v>1</v>
      </c>
      <c r="F185" s="241">
        <v>0.55000000000000004</v>
      </c>
    </row>
    <row r="186" spans="1:6" x14ac:dyDescent="0.25">
      <c r="A186" s="406"/>
      <c r="B186" s="240" t="s">
        <v>145</v>
      </c>
      <c r="C186" s="280">
        <v>50</v>
      </c>
      <c r="D186" s="240" t="s">
        <v>254</v>
      </c>
      <c r="E186" s="390">
        <v>2</v>
      </c>
      <c r="F186" s="241">
        <v>1.07</v>
      </c>
    </row>
    <row r="187" spans="1:6" x14ac:dyDescent="0.25">
      <c r="A187" s="406"/>
      <c r="B187" s="240" t="s">
        <v>145</v>
      </c>
      <c r="C187" s="280">
        <v>51</v>
      </c>
      <c r="D187" s="240" t="s">
        <v>254</v>
      </c>
      <c r="E187" s="390">
        <v>3</v>
      </c>
      <c r="F187" s="241">
        <v>1.591</v>
      </c>
    </row>
    <row r="188" spans="1:6" x14ac:dyDescent="0.25">
      <c r="A188" s="406"/>
      <c r="B188" s="240" t="s">
        <v>145</v>
      </c>
      <c r="C188" s="280">
        <v>52</v>
      </c>
      <c r="D188" s="240" t="s">
        <v>255</v>
      </c>
      <c r="E188" s="390">
        <v>1</v>
      </c>
      <c r="F188" s="241">
        <v>0.55300000000000005</v>
      </c>
    </row>
    <row r="189" spans="1:6" x14ac:dyDescent="0.25">
      <c r="A189" s="406"/>
      <c r="B189" s="240" t="s">
        <v>145</v>
      </c>
      <c r="C189" s="280">
        <v>53</v>
      </c>
      <c r="D189" s="240" t="s">
        <v>255</v>
      </c>
      <c r="E189" s="390">
        <v>2</v>
      </c>
      <c r="F189" s="241">
        <v>1.079</v>
      </c>
    </row>
    <row r="190" spans="1:6" x14ac:dyDescent="0.25">
      <c r="A190" s="406"/>
      <c r="B190" s="240" t="s">
        <v>145</v>
      </c>
      <c r="C190" s="280">
        <v>54</v>
      </c>
      <c r="D190" s="240" t="s">
        <v>255</v>
      </c>
      <c r="E190" s="390">
        <v>3</v>
      </c>
      <c r="F190" s="241">
        <v>1.605</v>
      </c>
    </row>
    <row r="191" spans="1:6" x14ac:dyDescent="0.25">
      <c r="A191" s="406"/>
      <c r="B191" s="240" t="s">
        <v>143</v>
      </c>
      <c r="C191" s="280">
        <v>55</v>
      </c>
      <c r="D191" s="240" t="s">
        <v>256</v>
      </c>
      <c r="E191" s="390">
        <v>1</v>
      </c>
      <c r="F191" s="241">
        <v>0.57299999999999995</v>
      </c>
    </row>
    <row r="192" spans="1:6" x14ac:dyDescent="0.25">
      <c r="A192" s="406"/>
      <c r="B192" s="240" t="s">
        <v>143</v>
      </c>
      <c r="C192" s="280">
        <v>56</v>
      </c>
      <c r="D192" s="240" t="s">
        <v>256</v>
      </c>
      <c r="E192" s="390">
        <v>2</v>
      </c>
      <c r="F192" s="241">
        <v>1.1160000000000001</v>
      </c>
    </row>
    <row r="193" spans="1:6" x14ac:dyDescent="0.25">
      <c r="A193" s="406"/>
      <c r="B193" s="240" t="s">
        <v>143</v>
      </c>
      <c r="C193" s="280">
        <v>57</v>
      </c>
      <c r="D193" s="240" t="s">
        <v>256</v>
      </c>
      <c r="E193" s="390">
        <v>3</v>
      </c>
      <c r="F193" s="241">
        <v>1.659</v>
      </c>
    </row>
    <row r="194" spans="1:6" x14ac:dyDescent="0.25">
      <c r="A194" s="406"/>
      <c r="B194" s="240" t="s">
        <v>143</v>
      </c>
      <c r="C194" s="280">
        <v>58</v>
      </c>
      <c r="D194" s="240" t="s">
        <v>257</v>
      </c>
      <c r="E194" s="390">
        <v>1</v>
      </c>
      <c r="F194" s="241">
        <v>0.60899999999999999</v>
      </c>
    </row>
    <row r="195" spans="1:6" x14ac:dyDescent="0.25">
      <c r="A195" s="406"/>
      <c r="B195" s="240" t="s">
        <v>143</v>
      </c>
      <c r="C195" s="280">
        <v>59</v>
      </c>
      <c r="D195" s="240" t="s">
        <v>257</v>
      </c>
      <c r="E195" s="390">
        <v>2</v>
      </c>
      <c r="F195" s="241">
        <v>1.1870000000000001</v>
      </c>
    </row>
    <row r="196" spans="1:6" ht="15.75" thickBot="1" x14ac:dyDescent="0.3">
      <c r="A196" s="407"/>
      <c r="B196" s="259" t="s">
        <v>143</v>
      </c>
      <c r="C196" s="281">
        <v>60</v>
      </c>
      <c r="D196" s="259" t="s">
        <v>257</v>
      </c>
      <c r="E196" s="391">
        <v>3</v>
      </c>
      <c r="F196" s="260">
        <v>1.764</v>
      </c>
    </row>
  </sheetData>
  <sheetProtection formatCells="0" formatColumns="0" formatRows="0" insertHyperlinks="0" sort="0" autoFilter="0" pivotTables="0"/>
  <mergeCells count="3">
    <mergeCell ref="A5:A64"/>
    <mergeCell ref="A65:A136"/>
    <mergeCell ref="A137:A196"/>
  </mergeCells>
  <conditionalFormatting sqref="B5:B109">
    <cfRule type="containsText" dxfId="51" priority="23" operator="containsText" text="3">
      <formula>NOT(ISERROR(SEARCH("3",B5)))</formula>
    </cfRule>
    <cfRule type="containsText" dxfId="50" priority="24" operator="containsText" text="5b">
      <formula>NOT(ISERROR(SEARCH("5b",B5)))</formula>
    </cfRule>
    <cfRule type="containsText" dxfId="49" priority="25" operator="containsText" text="5a">
      <formula>NOT(ISERROR(SEARCH("5a",B5)))</formula>
    </cfRule>
    <cfRule type="containsText" dxfId="48" priority="26" operator="containsText" text="5b">
      <formula>NOT(ISERROR(SEARCH("5b",B5)))</formula>
    </cfRule>
    <cfRule type="containsText" dxfId="47" priority="27" operator="containsText" text="5a">
      <formula>NOT(ISERROR(SEARCH("5a",B5)))</formula>
    </cfRule>
    <cfRule type="containsText" dxfId="46" priority="28" operator="containsText" text="5a">
      <formula>NOT(ISERROR(SEARCH("5a",B5)))</formula>
    </cfRule>
    <cfRule type="containsText" dxfId="45" priority="29" operator="containsText" text="4">
      <formula>NOT(ISERROR(SEARCH("4",B5)))</formula>
    </cfRule>
    <cfRule type="containsText" dxfId="44" priority="30" operator="containsText" text="3b">
      <formula>NOT(ISERROR(SEARCH("3b",B5)))</formula>
    </cfRule>
    <cfRule type="containsText" dxfId="43" priority="31" operator="containsText" text="3a">
      <formula>NOT(ISERROR(SEARCH("3a",B5)))</formula>
    </cfRule>
    <cfRule type="containsText" dxfId="42" priority="32" operator="containsText" text="2">
      <formula>NOT(ISERROR(SEARCH("2",B5)))</formula>
    </cfRule>
    <cfRule type="containsText" dxfId="41" priority="33" operator="containsText" text="1">
      <formula>NOT(ISERROR(SEARCH("1",B5)))</formula>
    </cfRule>
  </conditionalFormatting>
  <conditionalFormatting sqref="B110:B196">
    <cfRule type="containsText" dxfId="40" priority="12" operator="containsText" text="3">
      <formula>NOT(ISERROR(SEARCH("3",B110)))</formula>
    </cfRule>
    <cfRule type="containsText" dxfId="39" priority="13" operator="containsText" text="5b">
      <formula>NOT(ISERROR(SEARCH("5b",B110)))</formula>
    </cfRule>
    <cfRule type="containsText" dxfId="38" priority="14" operator="containsText" text="5a">
      <formula>NOT(ISERROR(SEARCH("5a",B110)))</formula>
    </cfRule>
    <cfRule type="containsText" dxfId="37" priority="15" operator="containsText" text="5b">
      <formula>NOT(ISERROR(SEARCH("5b",B110)))</formula>
    </cfRule>
    <cfRule type="containsText" dxfId="36" priority="16" operator="containsText" text="5a">
      <formula>NOT(ISERROR(SEARCH("5a",B110)))</formula>
    </cfRule>
    <cfRule type="containsText" dxfId="35" priority="17" operator="containsText" text="5a">
      <formula>NOT(ISERROR(SEARCH("5a",B110)))</formula>
    </cfRule>
    <cfRule type="containsText" dxfId="34" priority="18" operator="containsText" text="4">
      <formula>NOT(ISERROR(SEARCH("4",B110)))</formula>
    </cfRule>
    <cfRule type="containsText" dxfId="33" priority="19" operator="containsText" text="3b">
      <formula>NOT(ISERROR(SEARCH("3b",B110)))</formula>
    </cfRule>
    <cfRule type="containsText" dxfId="32" priority="20" operator="containsText" text="3a">
      <formula>NOT(ISERROR(SEARCH("3a",B110)))</formula>
    </cfRule>
    <cfRule type="containsText" dxfId="31" priority="21" operator="containsText" text="2">
      <formula>NOT(ISERROR(SEARCH("2",B110)))</formula>
    </cfRule>
    <cfRule type="containsText" dxfId="30" priority="22" operator="containsText" text="1">
      <formula>NOT(ISERROR(SEARCH("1",B110)))</formula>
    </cfRule>
  </conditionalFormatting>
  <conditionalFormatting sqref="B5:B196">
    <cfRule type="containsText" dxfId="29" priority="1" operator="containsText" text="5b">
      <formula>NOT(ISERROR(SEARCH("5b",B5)))</formula>
    </cfRule>
    <cfRule type="containsText" dxfId="28" priority="2" operator="containsText" text="5a">
      <formula>NOT(ISERROR(SEARCH("5a",B5)))</formula>
    </cfRule>
    <cfRule type="containsText" dxfId="27" priority="3" operator="containsText" text="4">
      <formula>NOT(ISERROR(SEARCH("4",B5)))</formula>
    </cfRule>
    <cfRule type="containsText" dxfId="26" priority="4" operator="containsText" text="3b">
      <formula>NOT(ISERROR(SEARCH("3b",B5)))</formula>
    </cfRule>
    <cfRule type="containsText" dxfId="25" priority="5" operator="containsText" text="3a">
      <formula>NOT(ISERROR(SEARCH("3a",B5)))</formula>
    </cfRule>
    <cfRule type="containsText" dxfId="24" priority="6" operator="containsText" text="3">
      <formula>NOT(ISERROR(SEARCH("3",B5)))</formula>
    </cfRule>
    <cfRule type="containsText" dxfId="23" priority="7" operator="containsText" text="2">
      <formula>NOT(ISERROR(SEARCH("2",B5)))</formula>
    </cfRule>
    <cfRule type="containsText" dxfId="22" priority="8" operator="containsText" text="1">
      <formula>NOT(ISERROR(SEARCH("1",B5)))</formula>
    </cfRule>
    <cfRule type="containsText" dxfId="21" priority="9" operator="containsText" text="3">
      <formula>NOT(ISERROR(SEARCH("3",B5)))</formula>
    </cfRule>
    <cfRule type="containsText" dxfId="20" priority="10" operator="containsText" text="2">
      <formula>NOT(ISERROR(SEARCH("2",B5)))</formula>
    </cfRule>
    <cfRule type="containsText" dxfId="19" priority="11" operator="containsText" text="1">
      <formula>NOT(ISERROR(SEARCH("1",B5)))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AS59"/>
  <sheetViews>
    <sheetView zoomScale="75" zoomScaleNormal="75" workbookViewId="0">
      <selection activeCell="B35" sqref="B35"/>
    </sheetView>
  </sheetViews>
  <sheetFormatPr defaultRowHeight="15" x14ac:dyDescent="0.25"/>
  <cols>
    <col min="1" max="1" width="22.5" style="25" customWidth="1"/>
    <col min="2" max="2" width="18.75" style="25" customWidth="1"/>
    <col min="3" max="3" width="17.125" style="25" customWidth="1"/>
    <col min="4" max="16384" width="9" style="25"/>
  </cols>
  <sheetData>
    <row r="1" spans="1:45" ht="15.75" x14ac:dyDescent="0.25">
      <c r="A1" s="23" t="s">
        <v>367</v>
      </c>
      <c r="B1" s="24"/>
      <c r="K1" s="393" t="s">
        <v>368</v>
      </c>
    </row>
    <row r="2" spans="1:45" x14ac:dyDescent="0.25">
      <c r="A2" s="26" t="s">
        <v>24</v>
      </c>
      <c r="B2" s="27">
        <v>6</v>
      </c>
      <c r="C2" s="27">
        <v>7</v>
      </c>
      <c r="D2" s="27">
        <v>8</v>
      </c>
      <c r="E2" s="27">
        <v>9</v>
      </c>
      <c r="F2" s="27">
        <v>10</v>
      </c>
      <c r="G2" s="27">
        <v>11</v>
      </c>
      <c r="H2" s="27">
        <v>12</v>
      </c>
      <c r="I2" s="27">
        <v>13</v>
      </c>
      <c r="J2" s="27">
        <v>14</v>
      </c>
      <c r="K2" s="27">
        <v>15</v>
      </c>
      <c r="L2" s="27">
        <v>16</v>
      </c>
      <c r="M2" s="27">
        <v>17</v>
      </c>
      <c r="N2" s="27">
        <v>18</v>
      </c>
      <c r="O2" s="27">
        <v>19</v>
      </c>
      <c r="P2" s="27">
        <v>20</v>
      </c>
      <c r="Q2" s="27">
        <v>21</v>
      </c>
      <c r="R2" s="27">
        <v>22</v>
      </c>
      <c r="S2" s="27">
        <v>23</v>
      </c>
      <c r="T2" s="27">
        <v>24</v>
      </c>
      <c r="U2" s="27">
        <v>25</v>
      </c>
      <c r="V2" s="27">
        <v>26</v>
      </c>
      <c r="W2" s="27">
        <v>27</v>
      </c>
      <c r="X2" s="27">
        <v>28</v>
      </c>
      <c r="Y2" s="27">
        <v>29</v>
      </c>
      <c r="Z2" s="27">
        <v>30</v>
      </c>
      <c r="AA2" s="27">
        <v>31</v>
      </c>
      <c r="AB2" s="27">
        <v>32</v>
      </c>
      <c r="AC2" s="27">
        <v>33</v>
      </c>
      <c r="AD2" s="27">
        <v>34</v>
      </c>
      <c r="AE2" s="27">
        <v>35</v>
      </c>
      <c r="AF2" s="27">
        <v>36</v>
      </c>
      <c r="AG2" s="27">
        <v>37</v>
      </c>
      <c r="AH2" s="27">
        <v>38</v>
      </c>
      <c r="AI2" s="27">
        <v>39</v>
      </c>
      <c r="AJ2" s="27">
        <v>40</v>
      </c>
      <c r="AK2" s="27">
        <v>41</v>
      </c>
      <c r="AL2" s="27">
        <v>42</v>
      </c>
      <c r="AM2" s="27">
        <v>43</v>
      </c>
      <c r="AN2" s="27">
        <v>44</v>
      </c>
      <c r="AO2" s="27">
        <v>45</v>
      </c>
      <c r="AP2" s="27">
        <v>46</v>
      </c>
      <c r="AQ2" s="27">
        <v>47</v>
      </c>
      <c r="AR2" s="27">
        <v>48</v>
      </c>
      <c r="AS2" s="27">
        <v>49</v>
      </c>
    </row>
    <row r="3" spans="1:45" x14ac:dyDescent="0.25">
      <c r="A3" s="26" t="s">
        <v>25</v>
      </c>
      <c r="B3" s="28">
        <v>2.0699999999999998</v>
      </c>
      <c r="C3" s="28">
        <v>2.1800000000000002</v>
      </c>
      <c r="D3" s="28">
        <v>2.27</v>
      </c>
      <c r="E3" s="28">
        <v>2.35</v>
      </c>
      <c r="F3" s="28">
        <v>2.41</v>
      </c>
      <c r="G3" s="28">
        <v>2.4700000000000002</v>
      </c>
      <c r="H3" s="28">
        <v>2.52</v>
      </c>
      <c r="I3" s="28">
        <v>2.56</v>
      </c>
      <c r="J3" s="28">
        <v>2.6</v>
      </c>
      <c r="K3" s="28">
        <v>2.64</v>
      </c>
      <c r="L3" s="28">
        <v>2.67</v>
      </c>
      <c r="M3" s="28">
        <v>2.7</v>
      </c>
      <c r="N3" s="28">
        <v>2.73</v>
      </c>
      <c r="O3" s="28">
        <v>2.75</v>
      </c>
      <c r="P3" s="28">
        <v>2.78</v>
      </c>
      <c r="Q3" s="28">
        <v>2.8</v>
      </c>
      <c r="R3" s="28">
        <v>2.82</v>
      </c>
      <c r="S3" s="28">
        <v>2.84</v>
      </c>
      <c r="T3" s="28">
        <v>2.86</v>
      </c>
      <c r="U3" s="28">
        <v>2.88</v>
      </c>
      <c r="V3" s="28">
        <v>2.9</v>
      </c>
      <c r="W3" s="28">
        <v>2.91</v>
      </c>
      <c r="X3" s="28">
        <v>2.93</v>
      </c>
      <c r="Y3" s="28">
        <v>2.94</v>
      </c>
      <c r="Z3" s="28">
        <v>2.96</v>
      </c>
      <c r="AA3" s="28">
        <v>2.97</v>
      </c>
      <c r="AB3" s="28">
        <v>2.98</v>
      </c>
      <c r="AC3" s="28">
        <v>3</v>
      </c>
      <c r="AD3" s="28">
        <v>3.01</v>
      </c>
      <c r="AE3" s="28">
        <v>3.02</v>
      </c>
      <c r="AF3" s="29">
        <v>3.03</v>
      </c>
      <c r="AG3" s="29">
        <v>3.04</v>
      </c>
      <c r="AH3" s="29">
        <v>3.05</v>
      </c>
      <c r="AI3" s="29">
        <v>3.06</v>
      </c>
      <c r="AJ3" s="29">
        <v>3.07</v>
      </c>
      <c r="AK3" s="29">
        <v>3.08</v>
      </c>
      <c r="AL3" s="29">
        <v>3.09</v>
      </c>
      <c r="AM3" s="29">
        <v>3.1</v>
      </c>
      <c r="AN3" s="29">
        <v>3.11</v>
      </c>
      <c r="AO3" s="29">
        <v>3.12</v>
      </c>
      <c r="AP3" s="29">
        <v>3.13</v>
      </c>
      <c r="AQ3" s="29">
        <v>3.14</v>
      </c>
      <c r="AR3" s="29">
        <v>3.14</v>
      </c>
      <c r="AS3" s="29">
        <v>3.15</v>
      </c>
    </row>
    <row r="5" spans="1:45" ht="15.75" x14ac:dyDescent="0.25">
      <c r="A5" s="23" t="s">
        <v>370</v>
      </c>
      <c r="B5" s="30"/>
    </row>
    <row r="6" spans="1:45" ht="38.25" customHeight="1" x14ac:dyDescent="0.25">
      <c r="A6" s="31" t="s">
        <v>46</v>
      </c>
      <c r="B6" s="408" t="s">
        <v>47</v>
      </c>
      <c r="C6" s="408"/>
    </row>
    <row r="7" spans="1:45" x14ac:dyDescent="0.25">
      <c r="A7" s="32"/>
      <c r="B7" s="33" t="s">
        <v>26</v>
      </c>
      <c r="C7" s="34" t="s">
        <v>27</v>
      </c>
    </row>
    <row r="8" spans="1:45" x14ac:dyDescent="0.25">
      <c r="A8" s="35">
        <v>2</v>
      </c>
      <c r="B8" s="36">
        <v>1.34</v>
      </c>
      <c r="C8" s="29">
        <v>2.92</v>
      </c>
    </row>
    <row r="9" spans="1:45" x14ac:dyDescent="0.25">
      <c r="A9" s="35">
        <v>3</v>
      </c>
      <c r="B9" s="36">
        <v>1.25</v>
      </c>
      <c r="C9" s="29">
        <v>2.35</v>
      </c>
    </row>
    <row r="10" spans="1:45" x14ac:dyDescent="0.25">
      <c r="A10" s="35">
        <v>4</v>
      </c>
      <c r="B10" s="36">
        <v>1.19</v>
      </c>
      <c r="C10" s="29">
        <v>2.13</v>
      </c>
    </row>
    <row r="11" spans="1:45" x14ac:dyDescent="0.25">
      <c r="A11" s="35">
        <v>5</v>
      </c>
      <c r="B11" s="36">
        <v>1.1599999999999999</v>
      </c>
      <c r="C11" s="29">
        <v>2.0099999999999998</v>
      </c>
    </row>
    <row r="12" spans="1:45" x14ac:dyDescent="0.25">
      <c r="A12" s="35">
        <v>6</v>
      </c>
      <c r="B12" s="36">
        <v>1.1299999999999999</v>
      </c>
      <c r="C12" s="29">
        <v>1.94</v>
      </c>
    </row>
    <row r="13" spans="1:45" x14ac:dyDescent="0.25">
      <c r="A13" s="35">
        <v>7</v>
      </c>
      <c r="B13" s="36">
        <v>1.1200000000000001</v>
      </c>
      <c r="C13" s="29">
        <v>1.9</v>
      </c>
    </row>
    <row r="14" spans="1:45" x14ac:dyDescent="0.25">
      <c r="A14" s="35">
        <v>8</v>
      </c>
      <c r="B14" s="36">
        <v>1.1100000000000001</v>
      </c>
      <c r="C14" s="29">
        <v>1.86</v>
      </c>
    </row>
    <row r="15" spans="1:45" x14ac:dyDescent="0.25">
      <c r="A15" s="35">
        <v>9</v>
      </c>
      <c r="B15" s="36">
        <v>1.1000000000000001</v>
      </c>
      <c r="C15" s="29">
        <v>1.83</v>
      </c>
    </row>
    <row r="16" spans="1:45" x14ac:dyDescent="0.25">
      <c r="A16" s="35">
        <v>10</v>
      </c>
      <c r="B16" s="36">
        <v>1.1000000000000001</v>
      </c>
      <c r="C16" s="29">
        <v>1.81</v>
      </c>
    </row>
    <row r="17" spans="1:7" x14ac:dyDescent="0.25">
      <c r="A17" s="35">
        <v>11</v>
      </c>
      <c r="B17" s="36">
        <v>1.0900000000000001</v>
      </c>
      <c r="C17" s="29">
        <v>1.8</v>
      </c>
      <c r="G17" s="37"/>
    </row>
    <row r="18" spans="1:7" x14ac:dyDescent="0.25">
      <c r="A18" s="35">
        <v>12</v>
      </c>
      <c r="B18" s="36">
        <v>1.08</v>
      </c>
      <c r="C18" s="29">
        <v>1.78</v>
      </c>
    </row>
    <row r="19" spans="1:7" x14ac:dyDescent="0.25">
      <c r="A19" s="35">
        <v>13</v>
      </c>
      <c r="B19" s="36">
        <v>1.08</v>
      </c>
      <c r="C19" s="29">
        <v>1.77</v>
      </c>
    </row>
    <row r="20" spans="1:7" x14ac:dyDescent="0.25">
      <c r="A20" s="35">
        <v>14</v>
      </c>
      <c r="B20" s="36">
        <v>1.08</v>
      </c>
      <c r="C20" s="29">
        <v>1.76</v>
      </c>
    </row>
    <row r="21" spans="1:7" x14ac:dyDescent="0.25">
      <c r="A21" s="35">
        <v>15</v>
      </c>
      <c r="B21" s="36">
        <v>1.07</v>
      </c>
      <c r="C21" s="29">
        <v>1.75</v>
      </c>
    </row>
    <row r="22" spans="1:7" x14ac:dyDescent="0.25">
      <c r="A22" s="35">
        <v>16</v>
      </c>
      <c r="B22" s="36">
        <v>1.07</v>
      </c>
      <c r="C22" s="29">
        <v>1.75</v>
      </c>
    </row>
    <row r="23" spans="1:7" x14ac:dyDescent="0.25">
      <c r="A23" s="35">
        <v>17</v>
      </c>
      <c r="B23" s="36">
        <v>1.07</v>
      </c>
      <c r="C23" s="29">
        <v>1.74</v>
      </c>
    </row>
    <row r="24" spans="1:7" x14ac:dyDescent="0.25">
      <c r="A24" s="35">
        <v>18</v>
      </c>
      <c r="B24" s="36">
        <v>1.07</v>
      </c>
      <c r="C24" s="29">
        <v>1.73</v>
      </c>
    </row>
    <row r="25" spans="1:7" x14ac:dyDescent="0.25">
      <c r="A25" s="35">
        <v>19</v>
      </c>
      <c r="B25" s="36">
        <v>1.07</v>
      </c>
      <c r="C25" s="29">
        <v>1.73</v>
      </c>
    </row>
    <row r="26" spans="1:7" x14ac:dyDescent="0.25">
      <c r="A26" s="35">
        <v>20</v>
      </c>
      <c r="B26" s="36">
        <v>1.06</v>
      </c>
      <c r="C26" s="29">
        <v>1.72</v>
      </c>
    </row>
    <row r="27" spans="1:7" x14ac:dyDescent="0.25">
      <c r="A27" s="35">
        <v>25</v>
      </c>
      <c r="B27" s="36">
        <v>1.06</v>
      </c>
      <c r="C27" s="29">
        <v>1.71</v>
      </c>
    </row>
    <row r="28" spans="1:7" x14ac:dyDescent="0.25">
      <c r="A28" s="35">
        <v>30</v>
      </c>
      <c r="B28" s="36">
        <v>1.05</v>
      </c>
      <c r="C28" s="29">
        <v>1.7</v>
      </c>
    </row>
    <row r="29" spans="1:7" x14ac:dyDescent="0.25">
      <c r="A29" s="35">
        <v>40</v>
      </c>
      <c r="B29" s="36">
        <v>1.05</v>
      </c>
      <c r="C29" s="29">
        <v>1.68</v>
      </c>
    </row>
    <row r="30" spans="1:7" x14ac:dyDescent="0.25">
      <c r="A30" s="35">
        <v>60</v>
      </c>
      <c r="B30" s="36">
        <v>1.05</v>
      </c>
      <c r="C30" s="29">
        <v>1.67</v>
      </c>
    </row>
    <row r="32" spans="1:7" ht="15.75" x14ac:dyDescent="0.25">
      <c r="A32" s="23" t="s">
        <v>369</v>
      </c>
    </row>
    <row r="33" spans="1:2" x14ac:dyDescent="0.25">
      <c r="A33" s="34" t="s">
        <v>33</v>
      </c>
      <c r="B33" s="34" t="s">
        <v>34</v>
      </c>
    </row>
    <row r="34" spans="1:2" x14ac:dyDescent="0.25">
      <c r="A34" s="38" t="s">
        <v>37</v>
      </c>
      <c r="B34" s="39">
        <v>0.15</v>
      </c>
    </row>
    <row r="35" spans="1:2" x14ac:dyDescent="0.25">
      <c r="A35" s="38" t="s">
        <v>150</v>
      </c>
      <c r="B35" s="39">
        <v>0.05</v>
      </c>
    </row>
    <row r="36" spans="1:2" x14ac:dyDescent="0.25">
      <c r="A36" s="38" t="s">
        <v>35</v>
      </c>
      <c r="B36" s="39">
        <v>0.05</v>
      </c>
    </row>
    <row r="37" spans="1:2" x14ac:dyDescent="0.25">
      <c r="A37" s="38" t="s">
        <v>151</v>
      </c>
      <c r="B37" s="39">
        <v>0.05</v>
      </c>
    </row>
    <row r="38" spans="1:2" x14ac:dyDescent="0.25">
      <c r="A38" s="38" t="s">
        <v>103</v>
      </c>
      <c r="B38" s="39"/>
    </row>
    <row r="39" spans="1:2" x14ac:dyDescent="0.25">
      <c r="A39" s="38" t="s">
        <v>104</v>
      </c>
      <c r="B39" s="39"/>
    </row>
    <row r="40" spans="1:2" x14ac:dyDescent="0.25">
      <c r="A40" s="38" t="s">
        <v>36</v>
      </c>
      <c r="B40" s="39"/>
    </row>
    <row r="41" spans="1:2" x14ac:dyDescent="0.25">
      <c r="A41" s="38" t="s">
        <v>105</v>
      </c>
      <c r="B41" s="39"/>
    </row>
    <row r="42" spans="1:2" x14ac:dyDescent="0.25">
      <c r="A42" s="409" t="s">
        <v>152</v>
      </c>
      <c r="B42" s="39">
        <v>0.3</v>
      </c>
    </row>
    <row r="43" spans="1:2" x14ac:dyDescent="0.25">
      <c r="A43" s="409"/>
      <c r="B43" s="39">
        <v>0.3</v>
      </c>
    </row>
    <row r="44" spans="1:2" x14ac:dyDescent="0.25">
      <c r="A44" s="409"/>
      <c r="B44" s="39">
        <v>0.3</v>
      </c>
    </row>
    <row r="45" spans="1:2" x14ac:dyDescent="0.25">
      <c r="A45" s="38" t="s">
        <v>107</v>
      </c>
      <c r="B45" s="39"/>
    </row>
    <row r="46" spans="1:2" x14ac:dyDescent="0.25">
      <c r="A46" s="409" t="s">
        <v>153</v>
      </c>
      <c r="B46" s="39"/>
    </row>
    <row r="47" spans="1:2" x14ac:dyDescent="0.25">
      <c r="A47" s="409"/>
      <c r="B47" s="39"/>
    </row>
    <row r="48" spans="1:2" x14ac:dyDescent="0.25">
      <c r="A48" s="409"/>
      <c r="B48" s="39"/>
    </row>
    <row r="49" spans="1:2" x14ac:dyDescent="0.25">
      <c r="A49" s="409"/>
      <c r="B49" s="39"/>
    </row>
    <row r="50" spans="1:2" x14ac:dyDescent="0.25">
      <c r="A50" s="409"/>
      <c r="B50" s="39"/>
    </row>
    <row r="51" spans="1:2" x14ac:dyDescent="0.25">
      <c r="A51" s="409"/>
      <c r="B51" s="39"/>
    </row>
    <row r="52" spans="1:2" x14ac:dyDescent="0.25">
      <c r="A52" s="38" t="s">
        <v>109</v>
      </c>
      <c r="B52" s="39">
        <v>0.4</v>
      </c>
    </row>
    <row r="53" spans="1:2" x14ac:dyDescent="0.25">
      <c r="A53" s="38" t="s">
        <v>110</v>
      </c>
      <c r="B53" s="39"/>
    </row>
    <row r="54" spans="1:2" x14ac:dyDescent="0.25">
      <c r="A54" s="38" t="s">
        <v>111</v>
      </c>
      <c r="B54" s="39"/>
    </row>
    <row r="55" spans="1:2" x14ac:dyDescent="0.25">
      <c r="A55" s="38" t="s">
        <v>112</v>
      </c>
      <c r="B55" s="39">
        <v>0.3</v>
      </c>
    </row>
    <row r="56" spans="1:2" x14ac:dyDescent="0.25">
      <c r="A56" s="38" t="s">
        <v>113</v>
      </c>
      <c r="B56" s="39"/>
    </row>
    <row r="57" spans="1:2" x14ac:dyDescent="0.25">
      <c r="A57" s="38" t="s">
        <v>98</v>
      </c>
      <c r="B57" s="39">
        <v>0.3</v>
      </c>
    </row>
    <row r="58" spans="1:2" x14ac:dyDescent="0.25">
      <c r="A58" s="38" t="s">
        <v>32</v>
      </c>
      <c r="B58" s="39">
        <v>0.3</v>
      </c>
    </row>
    <row r="59" spans="1:2" x14ac:dyDescent="0.25">
      <c r="A59" s="38" t="s">
        <v>173</v>
      </c>
      <c r="B59" s="39">
        <v>0.3</v>
      </c>
    </row>
  </sheetData>
  <sheetProtection formatCells="0" formatColumns="0" formatRows="0" insertHyperlinks="0" sort="0" autoFilter="0" pivotTables="0"/>
  <mergeCells count="3">
    <mergeCell ref="B6:C6"/>
    <mergeCell ref="A42:A44"/>
    <mergeCell ref="A46:A51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92D050"/>
  </sheetPr>
  <dimension ref="A1:I439"/>
  <sheetViews>
    <sheetView zoomScaleNormal="100" workbookViewId="0">
      <selection activeCell="I11" sqref="I11"/>
    </sheetView>
  </sheetViews>
  <sheetFormatPr defaultRowHeight="15" x14ac:dyDescent="0.25"/>
  <cols>
    <col min="1" max="2" width="9" style="42"/>
    <col min="3" max="3" width="12.25" style="42" bestFit="1" customWidth="1"/>
    <col min="4" max="4" width="8" style="42" bestFit="1" customWidth="1"/>
    <col min="5" max="5" width="10.5" style="42" bestFit="1" customWidth="1"/>
    <col min="6" max="8" width="9" style="42"/>
    <col min="9" max="9" width="12.25" style="42" bestFit="1" customWidth="1"/>
    <col min="10" max="16384" width="9" style="42"/>
  </cols>
  <sheetData>
    <row r="1" spans="1:6" ht="23.25" thickBot="1" x14ac:dyDescent="0.35">
      <c r="A1" s="210" t="s">
        <v>137</v>
      </c>
    </row>
    <row r="2" spans="1:6" x14ac:dyDescent="0.25">
      <c r="A2" s="182" t="s">
        <v>0</v>
      </c>
      <c r="B2" s="94" t="s">
        <v>135</v>
      </c>
      <c r="C2" s="94" t="s">
        <v>136</v>
      </c>
      <c r="D2" s="94" t="s">
        <v>141</v>
      </c>
      <c r="E2" s="94" t="s">
        <v>142</v>
      </c>
      <c r="F2" s="95" t="s">
        <v>74</v>
      </c>
    </row>
    <row r="3" spans="1:6" x14ac:dyDescent="0.25">
      <c r="A3" s="96">
        <v>1</v>
      </c>
      <c r="B3" s="97" t="s">
        <v>86</v>
      </c>
      <c r="C3" s="121">
        <v>1.395</v>
      </c>
      <c r="D3" s="99">
        <v>0.10337499999999999</v>
      </c>
      <c r="E3" s="100">
        <v>1.0686390624999998E-2</v>
      </c>
      <c r="F3" s="123" t="s">
        <v>154</v>
      </c>
    </row>
    <row r="4" spans="1:6" x14ac:dyDescent="0.25">
      <c r="A4" s="96">
        <v>2</v>
      </c>
      <c r="B4" s="97" t="s">
        <v>89</v>
      </c>
      <c r="C4" s="121">
        <v>1.423</v>
      </c>
      <c r="D4" s="99">
        <v>7.537499999999997E-2</v>
      </c>
      <c r="E4" s="100">
        <v>5.681390624999995E-3</v>
      </c>
      <c r="F4" s="123" t="s">
        <v>154</v>
      </c>
    </row>
    <row r="5" spans="1:6" x14ac:dyDescent="0.25">
      <c r="A5" s="96">
        <v>3</v>
      </c>
      <c r="B5" s="97" t="s">
        <v>91</v>
      </c>
      <c r="C5" s="121">
        <v>1.49</v>
      </c>
      <c r="D5" s="99">
        <v>8.3750000000000213E-3</v>
      </c>
      <c r="E5" s="100">
        <v>7.0140625000000351E-5</v>
      </c>
      <c r="F5" s="123" t="s">
        <v>154</v>
      </c>
    </row>
    <row r="6" spans="1:6" x14ac:dyDescent="0.25">
      <c r="A6" s="96">
        <v>4</v>
      </c>
      <c r="B6" s="97" t="s">
        <v>93</v>
      </c>
      <c r="C6" s="121">
        <v>1.4550000000000001</v>
      </c>
      <c r="D6" s="99">
        <v>4.3374999999999941E-2</v>
      </c>
      <c r="E6" s="100">
        <v>1.8813906249999948E-3</v>
      </c>
      <c r="F6" s="123" t="s">
        <v>154</v>
      </c>
    </row>
    <row r="7" spans="1:6" x14ac:dyDescent="0.25">
      <c r="A7" s="96">
        <v>5</v>
      </c>
      <c r="B7" s="97" t="s">
        <v>95</v>
      </c>
      <c r="C7" s="121">
        <v>1.49</v>
      </c>
      <c r="D7" s="99">
        <v>8.3750000000000213E-3</v>
      </c>
      <c r="E7" s="100">
        <v>7.0140625000000351E-5</v>
      </c>
      <c r="F7" s="123" t="s">
        <v>154</v>
      </c>
    </row>
    <row r="8" spans="1:6" x14ac:dyDescent="0.25">
      <c r="A8" s="96">
        <v>6</v>
      </c>
      <c r="B8" s="97" t="s">
        <v>253</v>
      </c>
      <c r="C8" s="326">
        <v>1.538</v>
      </c>
      <c r="D8" s="99">
        <v>3.9625000000000021E-2</v>
      </c>
      <c r="E8" s="100">
        <v>1.5701406250000017E-3</v>
      </c>
      <c r="F8" s="123" t="s">
        <v>154</v>
      </c>
    </row>
    <row r="9" spans="1:6" x14ac:dyDescent="0.25">
      <c r="A9" s="96">
        <v>7</v>
      </c>
      <c r="B9" s="97" t="s">
        <v>254</v>
      </c>
      <c r="C9" s="326">
        <v>1.591</v>
      </c>
      <c r="D9" s="99">
        <v>9.2624999999999957E-2</v>
      </c>
      <c r="E9" s="100">
        <v>8.579390624999992E-3</v>
      </c>
      <c r="F9" s="123" t="s">
        <v>154</v>
      </c>
    </row>
    <row r="10" spans="1:6" x14ac:dyDescent="0.25">
      <c r="A10" s="96">
        <v>8</v>
      </c>
      <c r="B10" s="97" t="s">
        <v>255</v>
      </c>
      <c r="C10" s="326">
        <v>1.605</v>
      </c>
      <c r="D10" s="99">
        <v>0.10662499999999997</v>
      </c>
      <c r="E10" s="100">
        <v>1.1368890624999994E-2</v>
      </c>
      <c r="F10" s="123" t="s">
        <v>154</v>
      </c>
    </row>
    <row r="11" spans="1:6" x14ac:dyDescent="0.25">
      <c r="A11" s="96">
        <v>9</v>
      </c>
      <c r="B11" s="97"/>
      <c r="C11" s="326"/>
      <c r="D11" s="99"/>
      <c r="E11" s="100"/>
      <c r="F11" s="123"/>
    </row>
    <row r="12" spans="1:6" x14ac:dyDescent="0.25">
      <c r="A12" s="96">
        <v>10</v>
      </c>
      <c r="B12" s="97"/>
      <c r="C12" s="326"/>
      <c r="D12" s="99"/>
      <c r="E12" s="100"/>
      <c r="F12" s="123"/>
    </row>
    <row r="13" spans="1:6" x14ac:dyDescent="0.25">
      <c r="A13" s="96">
        <v>11</v>
      </c>
      <c r="B13" s="97"/>
      <c r="C13" s="326"/>
      <c r="D13" s="99"/>
      <c r="E13" s="100"/>
      <c r="F13" s="123"/>
    </row>
    <row r="14" spans="1:6" x14ac:dyDescent="0.25">
      <c r="A14" s="96">
        <v>12</v>
      </c>
      <c r="B14" s="97"/>
      <c r="C14" s="326"/>
      <c r="D14" s="99"/>
      <c r="E14" s="100"/>
      <c r="F14" s="123"/>
    </row>
    <row r="15" spans="1:6" x14ac:dyDescent="0.25">
      <c r="A15" s="96">
        <v>13</v>
      </c>
      <c r="B15" s="97"/>
      <c r="C15" s="326"/>
      <c r="D15" s="99"/>
      <c r="E15" s="100"/>
      <c r="F15" s="123"/>
    </row>
    <row r="16" spans="1:6" x14ac:dyDescent="0.25">
      <c r="A16" s="96">
        <v>14</v>
      </c>
      <c r="B16" s="97"/>
      <c r="C16" s="326"/>
      <c r="D16" s="99"/>
      <c r="E16" s="100"/>
      <c r="F16" s="123"/>
    </row>
    <row r="17" spans="1:6" x14ac:dyDescent="0.25">
      <c r="A17" s="96">
        <v>15</v>
      </c>
      <c r="B17" s="97"/>
      <c r="C17" s="326"/>
      <c r="D17" s="99"/>
      <c r="E17" s="100"/>
      <c r="F17" s="123"/>
    </row>
    <row r="18" spans="1:6" x14ac:dyDescent="0.25">
      <c r="A18" s="96">
        <v>16</v>
      </c>
      <c r="B18" s="97"/>
      <c r="C18" s="326"/>
      <c r="D18" s="99"/>
      <c r="E18" s="100"/>
      <c r="F18" s="123"/>
    </row>
    <row r="19" spans="1:6" x14ac:dyDescent="0.25">
      <c r="A19" s="96">
        <v>17</v>
      </c>
      <c r="B19" s="97"/>
      <c r="C19" s="326"/>
      <c r="D19" s="99"/>
      <c r="E19" s="100"/>
      <c r="F19" s="123"/>
    </row>
    <row r="20" spans="1:6" x14ac:dyDescent="0.25">
      <c r="A20" s="96">
        <v>18</v>
      </c>
      <c r="B20" s="97"/>
      <c r="C20" s="326"/>
      <c r="D20" s="99"/>
      <c r="E20" s="100"/>
      <c r="F20" s="123"/>
    </row>
    <row r="21" spans="1:6" x14ac:dyDescent="0.25">
      <c r="A21" s="96">
        <v>19</v>
      </c>
      <c r="B21" s="97"/>
      <c r="C21" s="121"/>
      <c r="D21" s="99"/>
      <c r="E21" s="100"/>
      <c r="F21" s="123"/>
    </row>
    <row r="22" spans="1:6" x14ac:dyDescent="0.25">
      <c r="A22" s="96">
        <v>20</v>
      </c>
      <c r="B22" s="97"/>
      <c r="C22" s="121"/>
      <c r="D22" s="99"/>
      <c r="E22" s="100"/>
      <c r="F22" s="123"/>
    </row>
    <row r="23" spans="1:6" x14ac:dyDescent="0.25">
      <c r="A23" s="96">
        <v>21</v>
      </c>
      <c r="B23" s="97"/>
      <c r="C23" s="121"/>
      <c r="D23" s="99"/>
      <c r="E23" s="100"/>
      <c r="F23" s="123"/>
    </row>
    <row r="24" spans="1:6" x14ac:dyDescent="0.25">
      <c r="A24" s="96">
        <v>22</v>
      </c>
      <c r="B24" s="97"/>
      <c r="C24" s="121"/>
      <c r="D24" s="99"/>
      <c r="E24" s="100"/>
      <c r="F24" s="123"/>
    </row>
    <row r="25" spans="1:6" x14ac:dyDescent="0.25">
      <c r="A25" s="96">
        <v>23</v>
      </c>
      <c r="B25" s="97"/>
      <c r="C25" s="121"/>
      <c r="D25" s="99"/>
      <c r="E25" s="100"/>
      <c r="F25" s="123"/>
    </row>
    <row r="26" spans="1:6" x14ac:dyDescent="0.25">
      <c r="A26" s="96">
        <v>24</v>
      </c>
      <c r="B26" s="97"/>
      <c r="C26" s="121"/>
      <c r="D26" s="99"/>
      <c r="E26" s="100"/>
      <c r="F26" s="123"/>
    </row>
    <row r="27" spans="1:6" x14ac:dyDescent="0.25">
      <c r="A27" s="96">
        <v>25</v>
      </c>
      <c r="B27" s="97"/>
      <c r="C27" s="121"/>
      <c r="D27" s="99"/>
      <c r="E27" s="100"/>
      <c r="F27" s="123"/>
    </row>
    <row r="28" spans="1:6" x14ac:dyDescent="0.25">
      <c r="A28" s="96">
        <v>26</v>
      </c>
      <c r="B28" s="97"/>
      <c r="C28" s="121"/>
      <c r="D28" s="99"/>
      <c r="E28" s="100"/>
      <c r="F28" s="123"/>
    </row>
    <row r="29" spans="1:6" x14ac:dyDescent="0.25">
      <c r="A29" s="96">
        <v>27</v>
      </c>
      <c r="B29" s="97"/>
      <c r="C29" s="121"/>
      <c r="D29" s="99"/>
      <c r="E29" s="100"/>
      <c r="F29" s="123"/>
    </row>
    <row r="30" spans="1:6" x14ac:dyDescent="0.25">
      <c r="A30" s="96">
        <v>28</v>
      </c>
      <c r="B30" s="97"/>
      <c r="C30" s="121"/>
      <c r="D30" s="99"/>
      <c r="E30" s="100"/>
      <c r="F30" s="123"/>
    </row>
    <row r="31" spans="1:6" x14ac:dyDescent="0.25">
      <c r="A31" s="96">
        <v>29</v>
      </c>
      <c r="B31" s="97"/>
      <c r="C31" s="121"/>
      <c r="D31" s="99"/>
      <c r="E31" s="100"/>
      <c r="F31" s="123"/>
    </row>
    <row r="32" spans="1:6" x14ac:dyDescent="0.25">
      <c r="A32" s="96">
        <v>30</v>
      </c>
      <c r="B32" s="97"/>
      <c r="C32" s="121"/>
      <c r="D32" s="99"/>
      <c r="E32" s="100"/>
      <c r="F32" s="123"/>
    </row>
    <row r="33" spans="1:9" ht="15.75" thickBot="1" x14ac:dyDescent="0.3">
      <c r="A33" s="102" t="s">
        <v>28</v>
      </c>
      <c r="B33" s="103"/>
      <c r="C33" s="104">
        <v>11.987</v>
      </c>
      <c r="D33" s="105"/>
      <c r="E33" s="106">
        <v>3.9907874999999975E-2</v>
      </c>
      <c r="F33" s="107"/>
      <c r="H33" s="108" t="s">
        <v>165</v>
      </c>
    </row>
    <row r="34" spans="1:9" ht="15" customHeight="1" x14ac:dyDescent="0.25">
      <c r="A34" s="410" t="s">
        <v>30</v>
      </c>
      <c r="B34" s="109" t="s">
        <v>24</v>
      </c>
      <c r="C34" s="110">
        <v>8</v>
      </c>
      <c r="D34" s="110" t="s">
        <v>75</v>
      </c>
      <c r="E34" s="110">
        <v>2.27</v>
      </c>
      <c r="F34" s="419" t="str">
        <f>IF(OR(E37=0,C34=0,C34=1),"-",IF(C37&gt;E37,"ν &gt; [v] Tập hợp mẫu chứa sai số lớn","ν ≤ [v] Tập hợp mẫu được chọn"))</f>
        <v>-</v>
      </c>
      <c r="H34" s="111" t="s">
        <v>24</v>
      </c>
      <c r="I34" s="112">
        <f>C34</f>
        <v>8</v>
      </c>
    </row>
    <row r="35" spans="1:9" ht="18" x14ac:dyDescent="0.25">
      <c r="A35" s="411"/>
      <c r="B35" s="113" t="s">
        <v>208</v>
      </c>
      <c r="C35" s="120">
        <v>1.498375</v>
      </c>
      <c r="D35" s="121" t="s">
        <v>76</v>
      </c>
      <c r="E35" s="120">
        <v>7.0629203414734873E-2</v>
      </c>
      <c r="F35" s="420"/>
      <c r="H35" s="96" t="s">
        <v>40</v>
      </c>
      <c r="I35" s="115">
        <f>IF(C36=0," - ",C36)</f>
        <v>7.5505794479629157E-2</v>
      </c>
    </row>
    <row r="36" spans="1:9" ht="18" x14ac:dyDescent="0.25">
      <c r="A36" s="411"/>
      <c r="B36" s="116" t="s">
        <v>40</v>
      </c>
      <c r="C36" s="120">
        <v>7.5505794479629157E-2</v>
      </c>
      <c r="D36" s="121" t="s">
        <v>77</v>
      </c>
      <c r="E36" s="120">
        <v>0.16032829175144817</v>
      </c>
      <c r="F36" s="420"/>
      <c r="H36" s="96" t="s">
        <v>25</v>
      </c>
      <c r="I36" s="115">
        <f>IF(C37=0," - ",C37)</f>
        <v>5.0391787422794133E-2</v>
      </c>
    </row>
    <row r="37" spans="1:9" x14ac:dyDescent="0.25">
      <c r="A37" s="411"/>
      <c r="B37" s="116" t="s">
        <v>25</v>
      </c>
      <c r="C37" s="120">
        <v>5.0391787422794133E-2</v>
      </c>
      <c r="D37" s="121" t="s">
        <v>55</v>
      </c>
      <c r="E37" s="121"/>
      <c r="F37" s="420"/>
      <c r="H37" s="117" t="s">
        <v>55</v>
      </c>
      <c r="I37" s="115" t="str">
        <f>IF(E37=0," - ",E37)</f>
        <v xml:space="preserve"> - </v>
      </c>
    </row>
    <row r="38" spans="1:9" ht="30" x14ac:dyDescent="0.25">
      <c r="A38" s="118" t="s">
        <v>31</v>
      </c>
      <c r="B38" s="119" t="s">
        <v>163</v>
      </c>
      <c r="C38" s="421">
        <f>C35</f>
        <v>1.498375</v>
      </c>
      <c r="D38" s="422"/>
      <c r="E38" s="422"/>
      <c r="F38" s="123"/>
      <c r="H38" s="122" t="s">
        <v>164</v>
      </c>
      <c r="I38" s="115" t="str">
        <f>IF(OR(E37=0,C34=0,C34=1),"-",IF(C37&gt;E37,"ν &gt; [v] not OK","ν ≤ [v] OK"))</f>
        <v>-</v>
      </c>
    </row>
    <row r="39" spans="1:9" x14ac:dyDescent="0.25">
      <c r="A39" s="412" t="s">
        <v>140</v>
      </c>
      <c r="B39" s="414" t="s">
        <v>72</v>
      </c>
      <c r="C39" s="415"/>
      <c r="D39" s="416" t="s">
        <v>73</v>
      </c>
      <c r="E39" s="416"/>
      <c r="F39" s="417"/>
      <c r="H39" s="122" t="s">
        <v>163</v>
      </c>
      <c r="I39" s="115">
        <f>IF(C38=0," - ",C38)</f>
        <v>1.498375</v>
      </c>
    </row>
    <row r="40" spans="1:9" x14ac:dyDescent="0.25">
      <c r="A40" s="412"/>
      <c r="B40" s="121" t="s">
        <v>62</v>
      </c>
      <c r="C40" s="121">
        <v>0.95</v>
      </c>
      <c r="D40" s="121" t="s">
        <v>62</v>
      </c>
      <c r="E40" s="121">
        <v>0.85</v>
      </c>
      <c r="F40" s="417"/>
      <c r="H40" s="122" t="s">
        <v>160</v>
      </c>
      <c r="I40" s="115">
        <f>IF(C40=0," - ",C40)</f>
        <v>0.95</v>
      </c>
    </row>
    <row r="41" spans="1:9" ht="18" x14ac:dyDescent="0.25">
      <c r="A41" s="412"/>
      <c r="B41" s="121" t="s">
        <v>63</v>
      </c>
      <c r="C41" s="121">
        <v>1.9</v>
      </c>
      <c r="D41" s="121" t="s">
        <v>63</v>
      </c>
      <c r="E41" s="121">
        <v>1.1200000000000001</v>
      </c>
      <c r="F41" s="417"/>
      <c r="H41" s="122" t="s">
        <v>161</v>
      </c>
      <c r="I41" s="115">
        <f t="shared" ref="I41:I42" si="0">IF(C41=0," - ",C41)</f>
        <v>1.9</v>
      </c>
    </row>
    <row r="42" spans="1:9" x14ac:dyDescent="0.25">
      <c r="A42" s="412"/>
      <c r="B42" s="121" t="s">
        <v>78</v>
      </c>
      <c r="C42" s="99">
        <v>3.385075587263027E-2</v>
      </c>
      <c r="D42" s="121" t="s">
        <v>78</v>
      </c>
      <c r="E42" s="99">
        <v>1.9954129777550476E-2</v>
      </c>
      <c r="F42" s="417"/>
      <c r="H42" s="122" t="s">
        <v>162</v>
      </c>
      <c r="I42" s="115">
        <f t="shared" si="0"/>
        <v>3.385075587263027E-2</v>
      </c>
    </row>
    <row r="43" spans="1:9" ht="18.75" thickBot="1" x14ac:dyDescent="0.3">
      <c r="A43" s="413"/>
      <c r="B43" s="124" t="s">
        <v>138</v>
      </c>
      <c r="C43" s="124" t="s">
        <v>361</v>
      </c>
      <c r="D43" s="124" t="s">
        <v>139</v>
      </c>
      <c r="E43" s="125" t="s">
        <v>362</v>
      </c>
      <c r="F43" s="418"/>
      <c r="H43" s="126" t="s">
        <v>155</v>
      </c>
      <c r="I43" s="115" t="str">
        <f>IF(C43=0," - ",C43)</f>
        <v>1.448 ÷ 1.549</v>
      </c>
    </row>
    <row r="44" spans="1:9" x14ac:dyDescent="0.25">
      <c r="B44" s="127"/>
      <c r="H44" s="128" t="s">
        <v>157</v>
      </c>
      <c r="I44" s="115">
        <f>IF(E40=0," - ",E40)</f>
        <v>0.85</v>
      </c>
    </row>
    <row r="45" spans="1:9" x14ac:dyDescent="0.25">
      <c r="B45" s="127"/>
      <c r="H45" s="128" t="s">
        <v>158</v>
      </c>
      <c r="I45" s="115">
        <f>IF(E41=0," - ",E41)</f>
        <v>1.1200000000000001</v>
      </c>
    </row>
    <row r="46" spans="1:9" x14ac:dyDescent="0.25">
      <c r="B46" s="127"/>
      <c r="H46" s="128" t="s">
        <v>159</v>
      </c>
      <c r="I46" s="115">
        <f>IF(E42=0," - ",E42)</f>
        <v>1.9954129777550476E-2</v>
      </c>
    </row>
    <row r="47" spans="1:9" ht="15.75" thickBot="1" x14ac:dyDescent="0.3">
      <c r="B47" s="127"/>
      <c r="H47" s="129" t="s">
        <v>156</v>
      </c>
      <c r="I47" s="130" t="str">
        <f t="shared" ref="I47" si="1">IF(E43=0," - ",E43)</f>
        <v>1.468 ÷ 1.528</v>
      </c>
    </row>
    <row r="48" spans="1:9" x14ac:dyDescent="0.25">
      <c r="B48" s="127"/>
    </row>
    <row r="49" spans="2:2" x14ac:dyDescent="0.25">
      <c r="B49" s="131"/>
    </row>
    <row r="50" spans="2:2" x14ac:dyDescent="0.25">
      <c r="B50" s="131"/>
    </row>
    <row r="51" spans="2:2" x14ac:dyDescent="0.25">
      <c r="B51" s="127"/>
    </row>
    <row r="52" spans="2:2" x14ac:dyDescent="0.25">
      <c r="B52" s="127"/>
    </row>
    <row r="53" spans="2:2" x14ac:dyDescent="0.25">
      <c r="B53" s="127"/>
    </row>
    <row r="54" spans="2:2" x14ac:dyDescent="0.25">
      <c r="B54" s="127"/>
    </row>
    <row r="55" spans="2:2" x14ac:dyDescent="0.25">
      <c r="B55" s="127"/>
    </row>
    <row r="56" spans="2:2" x14ac:dyDescent="0.25">
      <c r="B56" s="127"/>
    </row>
    <row r="57" spans="2:2" x14ac:dyDescent="0.25">
      <c r="B57" s="131"/>
    </row>
    <row r="58" spans="2:2" x14ac:dyDescent="0.25">
      <c r="B58" s="131"/>
    </row>
    <row r="59" spans="2:2" x14ac:dyDescent="0.25">
      <c r="B59" s="131"/>
    </row>
    <row r="60" spans="2:2" x14ac:dyDescent="0.25">
      <c r="B60" s="127"/>
    </row>
    <row r="61" spans="2:2" x14ac:dyDescent="0.25">
      <c r="B61" s="127"/>
    </row>
    <row r="62" spans="2:2" x14ac:dyDescent="0.25">
      <c r="B62" s="127"/>
    </row>
    <row r="63" spans="2:2" x14ac:dyDescent="0.25">
      <c r="B63" s="127"/>
    </row>
    <row r="64" spans="2:2" x14ac:dyDescent="0.25">
      <c r="B64" s="127"/>
    </row>
    <row r="65" spans="2:2" x14ac:dyDescent="0.25">
      <c r="B65" s="127"/>
    </row>
    <row r="66" spans="2:2" x14ac:dyDescent="0.25">
      <c r="B66" s="127"/>
    </row>
    <row r="67" spans="2:2" x14ac:dyDescent="0.25">
      <c r="B67" s="127"/>
    </row>
    <row r="68" spans="2:2" x14ac:dyDescent="0.25">
      <c r="B68" s="131"/>
    </row>
    <row r="69" spans="2:2" x14ac:dyDescent="0.25">
      <c r="B69" s="131"/>
    </row>
    <row r="70" spans="2:2" x14ac:dyDescent="0.25">
      <c r="B70" s="127"/>
    </row>
    <row r="71" spans="2:2" x14ac:dyDescent="0.25">
      <c r="B71" s="127"/>
    </row>
    <row r="72" spans="2:2" x14ac:dyDescent="0.25">
      <c r="B72" s="127"/>
    </row>
    <row r="73" spans="2:2" x14ac:dyDescent="0.25">
      <c r="B73" s="127"/>
    </row>
    <row r="74" spans="2:2" x14ac:dyDescent="0.25">
      <c r="B74" s="127"/>
    </row>
    <row r="75" spans="2:2" x14ac:dyDescent="0.25">
      <c r="B75" s="127"/>
    </row>
    <row r="76" spans="2:2" x14ac:dyDescent="0.25">
      <c r="B76" s="131"/>
    </row>
    <row r="77" spans="2:2" x14ac:dyDescent="0.25">
      <c r="B77" s="131"/>
    </row>
    <row r="78" spans="2:2" x14ac:dyDescent="0.25">
      <c r="B78" s="131"/>
    </row>
    <row r="79" spans="2:2" x14ac:dyDescent="0.25">
      <c r="B79" s="127"/>
    </row>
    <row r="80" spans="2:2" x14ac:dyDescent="0.25">
      <c r="B80" s="127"/>
    </row>
    <row r="81" spans="2:2" x14ac:dyDescent="0.25">
      <c r="B81" s="127"/>
    </row>
    <row r="82" spans="2:2" x14ac:dyDescent="0.25">
      <c r="B82" s="127"/>
    </row>
    <row r="83" spans="2:2" x14ac:dyDescent="0.25">
      <c r="B83" s="127"/>
    </row>
    <row r="84" spans="2:2" x14ac:dyDescent="0.25">
      <c r="B84" s="127"/>
    </row>
    <row r="85" spans="2:2" x14ac:dyDescent="0.25">
      <c r="B85" s="127"/>
    </row>
    <row r="86" spans="2:2" x14ac:dyDescent="0.25">
      <c r="B86" s="127"/>
    </row>
    <row r="87" spans="2:2" x14ac:dyDescent="0.25">
      <c r="B87" s="131"/>
    </row>
    <row r="88" spans="2:2" x14ac:dyDescent="0.25">
      <c r="B88" s="131"/>
    </row>
    <row r="89" spans="2:2" x14ac:dyDescent="0.25">
      <c r="B89" s="127"/>
    </row>
    <row r="90" spans="2:2" x14ac:dyDescent="0.25">
      <c r="B90" s="127"/>
    </row>
    <row r="91" spans="2:2" x14ac:dyDescent="0.25">
      <c r="B91" s="127"/>
    </row>
    <row r="92" spans="2:2" x14ac:dyDescent="0.25">
      <c r="B92" s="127"/>
    </row>
    <row r="93" spans="2:2" x14ac:dyDescent="0.25">
      <c r="B93" s="127"/>
    </row>
    <row r="94" spans="2:2" x14ac:dyDescent="0.25">
      <c r="B94" s="127"/>
    </row>
    <row r="95" spans="2:2" x14ac:dyDescent="0.25">
      <c r="B95" s="131"/>
    </row>
    <row r="96" spans="2:2" x14ac:dyDescent="0.25">
      <c r="B96" s="131"/>
    </row>
    <row r="97" spans="2:2" x14ac:dyDescent="0.25">
      <c r="B97" s="131"/>
    </row>
    <row r="98" spans="2:2" x14ac:dyDescent="0.25">
      <c r="B98" s="127"/>
    </row>
    <row r="99" spans="2:2" x14ac:dyDescent="0.25">
      <c r="B99" s="127"/>
    </row>
    <row r="100" spans="2:2" x14ac:dyDescent="0.25">
      <c r="B100" s="127"/>
    </row>
    <row r="101" spans="2:2" x14ac:dyDescent="0.25">
      <c r="B101" s="127"/>
    </row>
    <row r="102" spans="2:2" x14ac:dyDescent="0.25">
      <c r="B102" s="127"/>
    </row>
    <row r="103" spans="2:2" x14ac:dyDescent="0.25">
      <c r="B103" s="127"/>
    </row>
    <row r="104" spans="2:2" x14ac:dyDescent="0.25">
      <c r="B104" s="127"/>
    </row>
    <row r="105" spans="2:2" x14ac:dyDescent="0.25">
      <c r="B105" s="127"/>
    </row>
    <row r="106" spans="2:2" x14ac:dyDescent="0.25">
      <c r="B106" s="131"/>
    </row>
    <row r="107" spans="2:2" x14ac:dyDescent="0.25">
      <c r="B107" s="131"/>
    </row>
    <row r="108" spans="2:2" x14ac:dyDescent="0.25">
      <c r="B108" s="127"/>
    </row>
    <row r="109" spans="2:2" x14ac:dyDescent="0.25">
      <c r="B109" s="127"/>
    </row>
    <row r="110" spans="2:2" x14ac:dyDescent="0.25">
      <c r="B110" s="127"/>
    </row>
    <row r="111" spans="2:2" x14ac:dyDescent="0.25">
      <c r="B111" s="127"/>
    </row>
    <row r="112" spans="2:2" x14ac:dyDescent="0.25">
      <c r="B112" s="127"/>
    </row>
    <row r="113" spans="2:2" x14ac:dyDescent="0.25">
      <c r="B113" s="127"/>
    </row>
    <row r="114" spans="2:2" x14ac:dyDescent="0.25">
      <c r="B114" s="131"/>
    </row>
    <row r="115" spans="2:2" x14ac:dyDescent="0.25">
      <c r="B115" s="131"/>
    </row>
    <row r="116" spans="2:2" x14ac:dyDescent="0.25">
      <c r="B116" s="131"/>
    </row>
    <row r="117" spans="2:2" x14ac:dyDescent="0.25">
      <c r="B117" s="127"/>
    </row>
    <row r="118" spans="2:2" x14ac:dyDescent="0.25">
      <c r="B118" s="127"/>
    </row>
    <row r="119" spans="2:2" x14ac:dyDescent="0.25">
      <c r="B119" s="127"/>
    </row>
    <row r="120" spans="2:2" x14ac:dyDescent="0.25">
      <c r="B120" s="127"/>
    </row>
    <row r="121" spans="2:2" x14ac:dyDescent="0.25">
      <c r="B121" s="127"/>
    </row>
    <row r="122" spans="2:2" x14ac:dyDescent="0.25">
      <c r="B122" s="127"/>
    </row>
    <row r="123" spans="2:2" x14ac:dyDescent="0.25">
      <c r="B123" s="127"/>
    </row>
    <row r="124" spans="2:2" x14ac:dyDescent="0.25">
      <c r="B124" s="127"/>
    </row>
    <row r="125" spans="2:2" x14ac:dyDescent="0.25">
      <c r="B125" s="131"/>
    </row>
    <row r="126" spans="2:2" x14ac:dyDescent="0.25">
      <c r="B126" s="131"/>
    </row>
    <row r="127" spans="2:2" x14ac:dyDescent="0.25">
      <c r="B127" s="127"/>
    </row>
    <row r="128" spans="2:2" x14ac:dyDescent="0.25">
      <c r="B128" s="127"/>
    </row>
    <row r="129" spans="2:2" x14ac:dyDescent="0.25">
      <c r="B129" s="127"/>
    </row>
    <row r="130" spans="2:2" x14ac:dyDescent="0.25">
      <c r="B130" s="127"/>
    </row>
    <row r="131" spans="2:2" x14ac:dyDescent="0.25">
      <c r="B131" s="127"/>
    </row>
    <row r="132" spans="2:2" x14ac:dyDescent="0.25">
      <c r="B132" s="127"/>
    </row>
    <row r="133" spans="2:2" x14ac:dyDescent="0.25">
      <c r="B133" s="131"/>
    </row>
    <row r="134" spans="2:2" x14ac:dyDescent="0.25">
      <c r="B134" s="131"/>
    </row>
    <row r="135" spans="2:2" x14ac:dyDescent="0.25">
      <c r="B135" s="131"/>
    </row>
    <row r="136" spans="2:2" x14ac:dyDescent="0.25">
      <c r="B136" s="127"/>
    </row>
    <row r="137" spans="2:2" x14ac:dyDescent="0.25">
      <c r="B137" s="127"/>
    </row>
    <row r="138" spans="2:2" x14ac:dyDescent="0.25">
      <c r="B138" s="127"/>
    </row>
    <row r="139" spans="2:2" x14ac:dyDescent="0.25">
      <c r="B139" s="127"/>
    </row>
    <row r="140" spans="2:2" x14ac:dyDescent="0.25">
      <c r="B140" s="127"/>
    </row>
    <row r="141" spans="2:2" x14ac:dyDescent="0.25">
      <c r="B141" s="127"/>
    </row>
    <row r="142" spans="2:2" x14ac:dyDescent="0.25">
      <c r="B142" s="127"/>
    </row>
    <row r="143" spans="2:2" x14ac:dyDescent="0.25">
      <c r="B143" s="127"/>
    </row>
    <row r="144" spans="2:2" x14ac:dyDescent="0.25">
      <c r="B144" s="131"/>
    </row>
    <row r="145" spans="2:2" x14ac:dyDescent="0.25">
      <c r="B145" s="131"/>
    </row>
    <row r="146" spans="2:2" x14ac:dyDescent="0.25">
      <c r="B146" s="127"/>
    </row>
    <row r="147" spans="2:2" x14ac:dyDescent="0.25">
      <c r="B147" s="127"/>
    </row>
    <row r="148" spans="2:2" x14ac:dyDescent="0.25">
      <c r="B148" s="127"/>
    </row>
    <row r="149" spans="2:2" x14ac:dyDescent="0.25">
      <c r="B149" s="127"/>
    </row>
    <row r="150" spans="2:2" x14ac:dyDescent="0.25">
      <c r="B150" s="127"/>
    </row>
    <row r="151" spans="2:2" x14ac:dyDescent="0.25">
      <c r="B151" s="127"/>
    </row>
    <row r="152" spans="2:2" x14ac:dyDescent="0.25">
      <c r="B152" s="131"/>
    </row>
    <row r="153" spans="2:2" x14ac:dyDescent="0.25">
      <c r="B153" s="131"/>
    </row>
    <row r="154" spans="2:2" x14ac:dyDescent="0.25">
      <c r="B154" s="131"/>
    </row>
    <row r="155" spans="2:2" x14ac:dyDescent="0.25">
      <c r="B155" s="127"/>
    </row>
    <row r="156" spans="2:2" x14ac:dyDescent="0.25">
      <c r="B156" s="127"/>
    </row>
    <row r="157" spans="2:2" x14ac:dyDescent="0.25">
      <c r="B157" s="127"/>
    </row>
    <row r="158" spans="2:2" x14ac:dyDescent="0.25">
      <c r="B158" s="127"/>
    </row>
    <row r="159" spans="2:2" x14ac:dyDescent="0.25">
      <c r="B159" s="127"/>
    </row>
    <row r="160" spans="2:2" x14ac:dyDescent="0.25">
      <c r="B160" s="127"/>
    </row>
    <row r="161" spans="2:2" x14ac:dyDescent="0.25">
      <c r="B161" s="127"/>
    </row>
    <row r="162" spans="2:2" x14ac:dyDescent="0.25">
      <c r="B162" s="127"/>
    </row>
    <row r="163" spans="2:2" x14ac:dyDescent="0.25">
      <c r="B163" s="131"/>
    </row>
    <row r="164" spans="2:2" x14ac:dyDescent="0.25">
      <c r="B164" s="131"/>
    </row>
    <row r="165" spans="2:2" x14ac:dyDescent="0.25">
      <c r="B165" s="127"/>
    </row>
    <row r="166" spans="2:2" x14ac:dyDescent="0.25">
      <c r="B166" s="127"/>
    </row>
    <row r="167" spans="2:2" x14ac:dyDescent="0.25">
      <c r="B167" s="127"/>
    </row>
    <row r="168" spans="2:2" x14ac:dyDescent="0.25">
      <c r="B168" s="127"/>
    </row>
    <row r="169" spans="2:2" x14ac:dyDescent="0.25">
      <c r="B169" s="127"/>
    </row>
    <row r="170" spans="2:2" x14ac:dyDescent="0.25">
      <c r="B170" s="127"/>
    </row>
    <row r="171" spans="2:2" x14ac:dyDescent="0.25">
      <c r="B171" s="131"/>
    </row>
    <row r="172" spans="2:2" x14ac:dyDescent="0.25">
      <c r="B172" s="131"/>
    </row>
    <row r="173" spans="2:2" x14ac:dyDescent="0.25">
      <c r="B173" s="131"/>
    </row>
    <row r="174" spans="2:2" x14ac:dyDescent="0.25">
      <c r="B174" s="127"/>
    </row>
    <row r="175" spans="2:2" x14ac:dyDescent="0.25">
      <c r="B175" s="127"/>
    </row>
    <row r="176" spans="2:2" x14ac:dyDescent="0.25">
      <c r="B176" s="127"/>
    </row>
    <row r="177" spans="2:2" x14ac:dyDescent="0.25">
      <c r="B177" s="127"/>
    </row>
    <row r="178" spans="2:2" x14ac:dyDescent="0.25">
      <c r="B178" s="127"/>
    </row>
    <row r="179" spans="2:2" x14ac:dyDescent="0.25">
      <c r="B179" s="127"/>
    </row>
    <row r="180" spans="2:2" x14ac:dyDescent="0.25">
      <c r="B180" s="127"/>
    </row>
    <row r="181" spans="2:2" x14ac:dyDescent="0.25">
      <c r="B181" s="127"/>
    </row>
    <row r="182" spans="2:2" x14ac:dyDescent="0.25">
      <c r="B182" s="131"/>
    </row>
    <row r="183" spans="2:2" x14ac:dyDescent="0.25">
      <c r="B183" s="131"/>
    </row>
    <row r="184" spans="2:2" x14ac:dyDescent="0.25">
      <c r="B184" s="127"/>
    </row>
    <row r="185" spans="2:2" x14ac:dyDescent="0.25">
      <c r="B185" s="127"/>
    </row>
    <row r="186" spans="2:2" x14ac:dyDescent="0.25">
      <c r="B186" s="127"/>
    </row>
    <row r="187" spans="2:2" x14ac:dyDescent="0.25">
      <c r="B187" s="127"/>
    </row>
    <row r="188" spans="2:2" x14ac:dyDescent="0.25">
      <c r="B188" s="127"/>
    </row>
    <row r="189" spans="2:2" x14ac:dyDescent="0.25">
      <c r="B189" s="127"/>
    </row>
    <row r="190" spans="2:2" x14ac:dyDescent="0.25">
      <c r="B190" s="131"/>
    </row>
    <row r="191" spans="2:2" x14ac:dyDescent="0.25">
      <c r="B191" s="131"/>
    </row>
    <row r="192" spans="2:2" x14ac:dyDescent="0.25">
      <c r="B192" s="131"/>
    </row>
    <row r="193" spans="2:2" x14ac:dyDescent="0.25">
      <c r="B193" s="127"/>
    </row>
    <row r="194" spans="2:2" x14ac:dyDescent="0.25">
      <c r="B194" s="127"/>
    </row>
    <row r="195" spans="2:2" x14ac:dyDescent="0.25">
      <c r="B195" s="127"/>
    </row>
    <row r="196" spans="2:2" x14ac:dyDescent="0.25">
      <c r="B196" s="127"/>
    </row>
    <row r="197" spans="2:2" x14ac:dyDescent="0.25">
      <c r="B197" s="127"/>
    </row>
    <row r="198" spans="2:2" x14ac:dyDescent="0.25">
      <c r="B198" s="127"/>
    </row>
    <row r="199" spans="2:2" x14ac:dyDescent="0.25">
      <c r="B199" s="127"/>
    </row>
    <row r="200" spans="2:2" x14ac:dyDescent="0.25">
      <c r="B200" s="127"/>
    </row>
    <row r="201" spans="2:2" x14ac:dyDescent="0.25">
      <c r="B201" s="131"/>
    </row>
    <row r="202" spans="2:2" x14ac:dyDescent="0.25">
      <c r="B202" s="131"/>
    </row>
    <row r="203" spans="2:2" x14ac:dyDescent="0.25">
      <c r="B203" s="127"/>
    </row>
    <row r="204" spans="2:2" x14ac:dyDescent="0.25">
      <c r="B204" s="127"/>
    </row>
    <row r="205" spans="2:2" x14ac:dyDescent="0.25">
      <c r="B205" s="127"/>
    </row>
    <row r="206" spans="2:2" x14ac:dyDescent="0.25">
      <c r="B206" s="127"/>
    </row>
    <row r="207" spans="2:2" x14ac:dyDescent="0.25">
      <c r="B207" s="127"/>
    </row>
    <row r="208" spans="2:2" x14ac:dyDescent="0.25">
      <c r="B208" s="127"/>
    </row>
    <row r="209" spans="2:2" x14ac:dyDescent="0.25">
      <c r="B209" s="131"/>
    </row>
    <row r="210" spans="2:2" x14ac:dyDescent="0.25">
      <c r="B210" s="131"/>
    </row>
    <row r="211" spans="2:2" x14ac:dyDescent="0.25">
      <c r="B211" s="131"/>
    </row>
    <row r="212" spans="2:2" x14ac:dyDescent="0.25">
      <c r="B212" s="127"/>
    </row>
    <row r="213" spans="2:2" x14ac:dyDescent="0.25">
      <c r="B213" s="127"/>
    </row>
    <row r="214" spans="2:2" x14ac:dyDescent="0.25">
      <c r="B214" s="127"/>
    </row>
    <row r="215" spans="2:2" x14ac:dyDescent="0.25">
      <c r="B215" s="127"/>
    </row>
    <row r="216" spans="2:2" x14ac:dyDescent="0.25">
      <c r="B216" s="127"/>
    </row>
    <row r="217" spans="2:2" x14ac:dyDescent="0.25">
      <c r="B217" s="127"/>
    </row>
    <row r="218" spans="2:2" x14ac:dyDescent="0.25">
      <c r="B218" s="127"/>
    </row>
    <row r="219" spans="2:2" x14ac:dyDescent="0.25">
      <c r="B219" s="127"/>
    </row>
    <row r="220" spans="2:2" x14ac:dyDescent="0.25">
      <c r="B220" s="131"/>
    </row>
    <row r="221" spans="2:2" x14ac:dyDescent="0.25">
      <c r="B221" s="131"/>
    </row>
    <row r="222" spans="2:2" x14ac:dyDescent="0.25">
      <c r="B222" s="127"/>
    </row>
    <row r="223" spans="2:2" x14ac:dyDescent="0.25">
      <c r="B223" s="127"/>
    </row>
    <row r="224" spans="2:2" x14ac:dyDescent="0.25">
      <c r="B224" s="127"/>
    </row>
    <row r="225" spans="2:2" x14ac:dyDescent="0.25">
      <c r="B225" s="127"/>
    </row>
    <row r="226" spans="2:2" x14ac:dyDescent="0.25">
      <c r="B226" s="127"/>
    </row>
    <row r="227" spans="2:2" x14ac:dyDescent="0.25">
      <c r="B227" s="127"/>
    </row>
    <row r="228" spans="2:2" x14ac:dyDescent="0.25">
      <c r="B228" s="131"/>
    </row>
    <row r="229" spans="2:2" x14ac:dyDescent="0.25">
      <c r="B229" s="131"/>
    </row>
    <row r="230" spans="2:2" x14ac:dyDescent="0.25">
      <c r="B230" s="131"/>
    </row>
    <row r="231" spans="2:2" x14ac:dyDescent="0.25">
      <c r="B231" s="127"/>
    </row>
    <row r="232" spans="2:2" x14ac:dyDescent="0.25">
      <c r="B232" s="127"/>
    </row>
    <row r="233" spans="2:2" x14ac:dyDescent="0.25">
      <c r="B233" s="127"/>
    </row>
    <row r="234" spans="2:2" x14ac:dyDescent="0.25">
      <c r="B234" s="127"/>
    </row>
    <row r="235" spans="2:2" x14ac:dyDescent="0.25">
      <c r="B235" s="127"/>
    </row>
    <row r="236" spans="2:2" x14ac:dyDescent="0.25">
      <c r="B236" s="127"/>
    </row>
    <row r="237" spans="2:2" x14ac:dyDescent="0.25">
      <c r="B237" s="127"/>
    </row>
    <row r="238" spans="2:2" x14ac:dyDescent="0.25">
      <c r="B238" s="127"/>
    </row>
    <row r="239" spans="2:2" x14ac:dyDescent="0.25">
      <c r="B239" s="131"/>
    </row>
    <row r="240" spans="2:2" x14ac:dyDescent="0.25">
      <c r="B240" s="131"/>
    </row>
    <row r="241" spans="2:2" x14ac:dyDescent="0.25">
      <c r="B241" s="127"/>
    </row>
    <row r="242" spans="2:2" x14ac:dyDescent="0.25">
      <c r="B242" s="127"/>
    </row>
    <row r="243" spans="2:2" x14ac:dyDescent="0.25">
      <c r="B243" s="127"/>
    </row>
    <row r="244" spans="2:2" x14ac:dyDescent="0.25">
      <c r="B244" s="127"/>
    </row>
    <row r="245" spans="2:2" x14ac:dyDescent="0.25">
      <c r="B245" s="127"/>
    </row>
    <row r="246" spans="2:2" x14ac:dyDescent="0.25">
      <c r="B246" s="127"/>
    </row>
    <row r="247" spans="2:2" x14ac:dyDescent="0.25">
      <c r="B247" s="131"/>
    </row>
    <row r="248" spans="2:2" x14ac:dyDescent="0.25">
      <c r="B248" s="131"/>
    </row>
    <row r="249" spans="2:2" x14ac:dyDescent="0.25">
      <c r="B249" s="131"/>
    </row>
    <row r="250" spans="2:2" x14ac:dyDescent="0.25">
      <c r="B250" s="127"/>
    </row>
    <row r="251" spans="2:2" x14ac:dyDescent="0.25">
      <c r="B251" s="127"/>
    </row>
    <row r="252" spans="2:2" x14ac:dyDescent="0.25">
      <c r="B252" s="127"/>
    </row>
    <row r="253" spans="2:2" x14ac:dyDescent="0.25">
      <c r="B253" s="127"/>
    </row>
    <row r="254" spans="2:2" x14ac:dyDescent="0.25">
      <c r="B254" s="127"/>
    </row>
    <row r="255" spans="2:2" x14ac:dyDescent="0.25">
      <c r="B255" s="127"/>
    </row>
    <row r="256" spans="2:2" x14ac:dyDescent="0.25">
      <c r="B256" s="127"/>
    </row>
    <row r="257" spans="2:2" x14ac:dyDescent="0.25">
      <c r="B257" s="127"/>
    </row>
    <row r="258" spans="2:2" x14ac:dyDescent="0.25">
      <c r="B258" s="131"/>
    </row>
    <row r="259" spans="2:2" x14ac:dyDescent="0.25">
      <c r="B259" s="131"/>
    </row>
    <row r="260" spans="2:2" x14ac:dyDescent="0.25">
      <c r="B260" s="127"/>
    </row>
    <row r="261" spans="2:2" x14ac:dyDescent="0.25">
      <c r="B261" s="127"/>
    </row>
    <row r="262" spans="2:2" x14ac:dyDescent="0.25">
      <c r="B262" s="127"/>
    </row>
    <row r="263" spans="2:2" x14ac:dyDescent="0.25">
      <c r="B263" s="127"/>
    </row>
    <row r="264" spans="2:2" x14ac:dyDescent="0.25">
      <c r="B264" s="127"/>
    </row>
    <row r="265" spans="2:2" x14ac:dyDescent="0.25">
      <c r="B265" s="127"/>
    </row>
    <row r="266" spans="2:2" x14ac:dyDescent="0.25">
      <c r="B266" s="131"/>
    </row>
    <row r="267" spans="2:2" x14ac:dyDescent="0.25">
      <c r="B267" s="131"/>
    </row>
    <row r="268" spans="2:2" x14ac:dyDescent="0.25">
      <c r="B268" s="131"/>
    </row>
    <row r="269" spans="2:2" x14ac:dyDescent="0.25">
      <c r="B269" s="127"/>
    </row>
    <row r="270" spans="2:2" x14ac:dyDescent="0.25">
      <c r="B270" s="127"/>
    </row>
    <row r="271" spans="2:2" x14ac:dyDescent="0.25">
      <c r="B271" s="127"/>
    </row>
    <row r="272" spans="2:2" x14ac:dyDescent="0.25">
      <c r="B272" s="127"/>
    </row>
    <row r="273" spans="2:2" x14ac:dyDescent="0.25">
      <c r="B273" s="127"/>
    </row>
    <row r="274" spans="2:2" x14ac:dyDescent="0.25">
      <c r="B274" s="127"/>
    </row>
    <row r="275" spans="2:2" x14ac:dyDescent="0.25">
      <c r="B275" s="127"/>
    </row>
    <row r="276" spans="2:2" x14ac:dyDescent="0.25">
      <c r="B276" s="127"/>
    </row>
    <row r="277" spans="2:2" x14ac:dyDescent="0.25">
      <c r="B277" s="131"/>
    </row>
    <row r="278" spans="2:2" x14ac:dyDescent="0.25">
      <c r="B278" s="131"/>
    </row>
    <row r="279" spans="2:2" x14ac:dyDescent="0.25">
      <c r="B279" s="127"/>
    </row>
    <row r="280" spans="2:2" x14ac:dyDescent="0.25">
      <c r="B280" s="127"/>
    </row>
    <row r="281" spans="2:2" x14ac:dyDescent="0.25">
      <c r="B281" s="127"/>
    </row>
    <row r="282" spans="2:2" x14ac:dyDescent="0.25">
      <c r="B282" s="127"/>
    </row>
    <row r="283" spans="2:2" x14ac:dyDescent="0.25">
      <c r="B283" s="127"/>
    </row>
    <row r="284" spans="2:2" x14ac:dyDescent="0.25">
      <c r="B284" s="127"/>
    </row>
    <row r="285" spans="2:2" x14ac:dyDescent="0.25">
      <c r="B285" s="131"/>
    </row>
    <row r="286" spans="2:2" x14ac:dyDescent="0.25">
      <c r="B286" s="131"/>
    </row>
    <row r="287" spans="2:2" x14ac:dyDescent="0.25">
      <c r="B287" s="131"/>
    </row>
    <row r="288" spans="2:2" x14ac:dyDescent="0.25">
      <c r="B288" s="127"/>
    </row>
    <row r="289" spans="2:2" x14ac:dyDescent="0.25">
      <c r="B289" s="127"/>
    </row>
    <row r="290" spans="2:2" x14ac:dyDescent="0.25">
      <c r="B290" s="127"/>
    </row>
    <row r="291" spans="2:2" x14ac:dyDescent="0.25">
      <c r="B291" s="127"/>
    </row>
    <row r="292" spans="2:2" x14ac:dyDescent="0.25">
      <c r="B292" s="127"/>
    </row>
    <row r="293" spans="2:2" x14ac:dyDescent="0.25">
      <c r="B293" s="127"/>
    </row>
    <row r="294" spans="2:2" x14ac:dyDescent="0.25">
      <c r="B294" s="127"/>
    </row>
    <row r="295" spans="2:2" x14ac:dyDescent="0.25">
      <c r="B295" s="127"/>
    </row>
    <row r="296" spans="2:2" x14ac:dyDescent="0.25">
      <c r="B296" s="131"/>
    </row>
    <row r="297" spans="2:2" x14ac:dyDescent="0.25">
      <c r="B297" s="131"/>
    </row>
    <row r="298" spans="2:2" x14ac:dyDescent="0.25">
      <c r="B298" s="127"/>
    </row>
    <row r="299" spans="2:2" x14ac:dyDescent="0.25">
      <c r="B299" s="127"/>
    </row>
    <row r="300" spans="2:2" x14ac:dyDescent="0.25">
      <c r="B300" s="127"/>
    </row>
    <row r="301" spans="2:2" x14ac:dyDescent="0.25">
      <c r="B301" s="127"/>
    </row>
    <row r="302" spans="2:2" x14ac:dyDescent="0.25">
      <c r="B302" s="127"/>
    </row>
    <row r="303" spans="2:2" x14ac:dyDescent="0.25">
      <c r="B303" s="127"/>
    </row>
    <row r="304" spans="2:2" x14ac:dyDescent="0.25">
      <c r="B304" s="131"/>
    </row>
    <row r="305" spans="2:2" x14ac:dyDescent="0.25">
      <c r="B305" s="131"/>
    </row>
    <row r="306" spans="2:2" x14ac:dyDescent="0.25">
      <c r="B306" s="131"/>
    </row>
    <row r="307" spans="2:2" x14ac:dyDescent="0.25">
      <c r="B307" s="127"/>
    </row>
    <row r="308" spans="2:2" x14ac:dyDescent="0.25">
      <c r="B308" s="127"/>
    </row>
    <row r="309" spans="2:2" x14ac:dyDescent="0.25">
      <c r="B309" s="127"/>
    </row>
    <row r="310" spans="2:2" x14ac:dyDescent="0.25">
      <c r="B310" s="127"/>
    </row>
    <row r="311" spans="2:2" x14ac:dyDescent="0.25">
      <c r="B311" s="127"/>
    </row>
    <row r="312" spans="2:2" x14ac:dyDescent="0.25">
      <c r="B312" s="127"/>
    </row>
    <row r="313" spans="2:2" x14ac:dyDescent="0.25">
      <c r="B313" s="127"/>
    </row>
    <row r="314" spans="2:2" x14ac:dyDescent="0.25">
      <c r="B314" s="127"/>
    </row>
    <row r="315" spans="2:2" x14ac:dyDescent="0.25">
      <c r="B315" s="131"/>
    </row>
    <row r="316" spans="2:2" x14ac:dyDescent="0.25">
      <c r="B316" s="131"/>
    </row>
    <row r="317" spans="2:2" x14ac:dyDescent="0.25">
      <c r="B317" s="127"/>
    </row>
    <row r="318" spans="2:2" x14ac:dyDescent="0.25">
      <c r="B318" s="127"/>
    </row>
    <row r="319" spans="2:2" x14ac:dyDescent="0.25">
      <c r="B319" s="127"/>
    </row>
    <row r="320" spans="2:2" x14ac:dyDescent="0.25">
      <c r="B320" s="127"/>
    </row>
    <row r="321" spans="2:2" x14ac:dyDescent="0.25">
      <c r="B321" s="127"/>
    </row>
    <row r="322" spans="2:2" x14ac:dyDescent="0.25">
      <c r="B322" s="127"/>
    </row>
    <row r="323" spans="2:2" x14ac:dyDescent="0.25">
      <c r="B323" s="131"/>
    </row>
    <row r="324" spans="2:2" x14ac:dyDescent="0.25">
      <c r="B324" s="131"/>
    </row>
    <row r="325" spans="2:2" x14ac:dyDescent="0.25">
      <c r="B325" s="131"/>
    </row>
    <row r="326" spans="2:2" x14ac:dyDescent="0.25">
      <c r="B326" s="127"/>
    </row>
    <row r="327" spans="2:2" x14ac:dyDescent="0.25">
      <c r="B327" s="127"/>
    </row>
    <row r="328" spans="2:2" x14ac:dyDescent="0.25">
      <c r="B328" s="127"/>
    </row>
    <row r="329" spans="2:2" x14ac:dyDescent="0.25">
      <c r="B329" s="127"/>
    </row>
    <row r="330" spans="2:2" x14ac:dyDescent="0.25">
      <c r="B330" s="127"/>
    </row>
    <row r="331" spans="2:2" x14ac:dyDescent="0.25">
      <c r="B331" s="127"/>
    </row>
    <row r="332" spans="2:2" x14ac:dyDescent="0.25">
      <c r="B332" s="127"/>
    </row>
    <row r="333" spans="2:2" x14ac:dyDescent="0.25">
      <c r="B333" s="127"/>
    </row>
    <row r="334" spans="2:2" x14ac:dyDescent="0.25">
      <c r="B334" s="131"/>
    </row>
    <row r="335" spans="2:2" x14ac:dyDescent="0.25">
      <c r="B335" s="131"/>
    </row>
    <row r="336" spans="2:2" x14ac:dyDescent="0.25">
      <c r="B336" s="127"/>
    </row>
    <row r="337" spans="2:2" x14ac:dyDescent="0.25">
      <c r="B337" s="127"/>
    </row>
    <row r="338" spans="2:2" x14ac:dyDescent="0.25">
      <c r="B338" s="127"/>
    </row>
    <row r="339" spans="2:2" x14ac:dyDescent="0.25">
      <c r="B339" s="127"/>
    </row>
    <row r="340" spans="2:2" x14ac:dyDescent="0.25">
      <c r="B340" s="127"/>
    </row>
    <row r="341" spans="2:2" x14ac:dyDescent="0.25">
      <c r="B341" s="127"/>
    </row>
    <row r="342" spans="2:2" x14ac:dyDescent="0.25">
      <c r="B342" s="131"/>
    </row>
    <row r="343" spans="2:2" x14ac:dyDescent="0.25">
      <c r="B343" s="131"/>
    </row>
    <row r="344" spans="2:2" x14ac:dyDescent="0.25">
      <c r="B344" s="131"/>
    </row>
    <row r="345" spans="2:2" x14ac:dyDescent="0.25">
      <c r="B345" s="127"/>
    </row>
    <row r="346" spans="2:2" x14ac:dyDescent="0.25">
      <c r="B346" s="127"/>
    </row>
    <row r="347" spans="2:2" x14ac:dyDescent="0.25">
      <c r="B347" s="127"/>
    </row>
    <row r="348" spans="2:2" x14ac:dyDescent="0.25">
      <c r="B348" s="127"/>
    </row>
    <row r="349" spans="2:2" x14ac:dyDescent="0.25">
      <c r="B349" s="127"/>
    </row>
    <row r="350" spans="2:2" x14ac:dyDescent="0.25">
      <c r="B350" s="127"/>
    </row>
    <row r="351" spans="2:2" x14ac:dyDescent="0.25">
      <c r="B351" s="127"/>
    </row>
    <row r="352" spans="2:2" x14ac:dyDescent="0.25">
      <c r="B352" s="127"/>
    </row>
    <row r="353" spans="2:2" x14ac:dyDescent="0.25">
      <c r="B353" s="131"/>
    </row>
    <row r="354" spans="2:2" x14ac:dyDescent="0.25">
      <c r="B354" s="131"/>
    </row>
    <row r="355" spans="2:2" x14ac:dyDescent="0.25">
      <c r="B355" s="127"/>
    </row>
    <row r="356" spans="2:2" x14ac:dyDescent="0.25">
      <c r="B356" s="127"/>
    </row>
    <row r="357" spans="2:2" x14ac:dyDescent="0.25">
      <c r="B357" s="127"/>
    </row>
    <row r="358" spans="2:2" x14ac:dyDescent="0.25">
      <c r="B358" s="127"/>
    </row>
    <row r="359" spans="2:2" x14ac:dyDescent="0.25">
      <c r="B359" s="127"/>
    </row>
    <row r="360" spans="2:2" x14ac:dyDescent="0.25">
      <c r="B360" s="127"/>
    </row>
    <row r="361" spans="2:2" x14ac:dyDescent="0.25">
      <c r="B361" s="131"/>
    </row>
    <row r="362" spans="2:2" x14ac:dyDescent="0.25">
      <c r="B362" s="131"/>
    </row>
    <row r="363" spans="2:2" x14ac:dyDescent="0.25">
      <c r="B363" s="131"/>
    </row>
    <row r="364" spans="2:2" x14ac:dyDescent="0.25">
      <c r="B364" s="127"/>
    </row>
    <row r="365" spans="2:2" x14ac:dyDescent="0.25">
      <c r="B365" s="127"/>
    </row>
    <row r="366" spans="2:2" x14ac:dyDescent="0.25">
      <c r="B366" s="127"/>
    </row>
    <row r="367" spans="2:2" x14ac:dyDescent="0.25">
      <c r="B367" s="127"/>
    </row>
    <row r="368" spans="2:2" x14ac:dyDescent="0.25">
      <c r="B368" s="127"/>
    </row>
    <row r="369" spans="2:2" x14ac:dyDescent="0.25">
      <c r="B369" s="127"/>
    </row>
    <row r="370" spans="2:2" x14ac:dyDescent="0.25">
      <c r="B370" s="127"/>
    </row>
    <row r="371" spans="2:2" x14ac:dyDescent="0.25">
      <c r="B371" s="127"/>
    </row>
    <row r="372" spans="2:2" x14ac:dyDescent="0.25">
      <c r="B372" s="131"/>
    </row>
    <row r="373" spans="2:2" x14ac:dyDescent="0.25">
      <c r="B373" s="131"/>
    </row>
    <row r="374" spans="2:2" x14ac:dyDescent="0.25">
      <c r="B374" s="127"/>
    </row>
    <row r="375" spans="2:2" x14ac:dyDescent="0.25">
      <c r="B375" s="127"/>
    </row>
    <row r="376" spans="2:2" x14ac:dyDescent="0.25">
      <c r="B376" s="127"/>
    </row>
    <row r="377" spans="2:2" x14ac:dyDescent="0.25">
      <c r="B377" s="127"/>
    </row>
    <row r="378" spans="2:2" x14ac:dyDescent="0.25">
      <c r="B378" s="127"/>
    </row>
    <row r="379" spans="2:2" x14ac:dyDescent="0.25">
      <c r="B379" s="127"/>
    </row>
    <row r="380" spans="2:2" x14ac:dyDescent="0.25">
      <c r="B380" s="131"/>
    </row>
    <row r="381" spans="2:2" x14ac:dyDescent="0.25">
      <c r="B381" s="131"/>
    </row>
    <row r="382" spans="2:2" x14ac:dyDescent="0.25">
      <c r="B382" s="131"/>
    </row>
    <row r="383" spans="2:2" x14ac:dyDescent="0.25">
      <c r="B383" s="127"/>
    </row>
    <row r="384" spans="2:2" x14ac:dyDescent="0.25">
      <c r="B384" s="127"/>
    </row>
    <row r="385" spans="2:2" x14ac:dyDescent="0.25">
      <c r="B385" s="127"/>
    </row>
    <row r="386" spans="2:2" x14ac:dyDescent="0.25">
      <c r="B386" s="127"/>
    </row>
    <row r="387" spans="2:2" x14ac:dyDescent="0.25">
      <c r="B387" s="127"/>
    </row>
    <row r="388" spans="2:2" x14ac:dyDescent="0.25">
      <c r="B388" s="127"/>
    </row>
    <row r="389" spans="2:2" x14ac:dyDescent="0.25">
      <c r="B389" s="127"/>
    </row>
    <row r="390" spans="2:2" x14ac:dyDescent="0.25">
      <c r="B390" s="127"/>
    </row>
    <row r="391" spans="2:2" x14ac:dyDescent="0.25">
      <c r="B391" s="131"/>
    </row>
    <row r="392" spans="2:2" x14ac:dyDescent="0.25">
      <c r="B392" s="131"/>
    </row>
    <row r="393" spans="2:2" x14ac:dyDescent="0.25">
      <c r="B393" s="127"/>
    </row>
    <row r="394" spans="2:2" x14ac:dyDescent="0.25">
      <c r="B394" s="127"/>
    </row>
    <row r="395" spans="2:2" x14ac:dyDescent="0.25">
      <c r="B395" s="127"/>
    </row>
    <row r="396" spans="2:2" x14ac:dyDescent="0.25">
      <c r="B396" s="127"/>
    </row>
    <row r="397" spans="2:2" x14ac:dyDescent="0.25">
      <c r="B397" s="127"/>
    </row>
    <row r="398" spans="2:2" x14ac:dyDescent="0.25">
      <c r="B398" s="127"/>
    </row>
    <row r="399" spans="2:2" x14ac:dyDescent="0.25">
      <c r="B399" s="131"/>
    </row>
    <row r="400" spans="2:2" x14ac:dyDescent="0.25">
      <c r="B400" s="131"/>
    </row>
    <row r="401" spans="2:2" x14ac:dyDescent="0.25">
      <c r="B401" s="131"/>
    </row>
    <row r="402" spans="2:2" x14ac:dyDescent="0.25">
      <c r="B402" s="127"/>
    </row>
    <row r="403" spans="2:2" x14ac:dyDescent="0.25">
      <c r="B403" s="127"/>
    </row>
    <row r="404" spans="2:2" x14ac:dyDescent="0.25">
      <c r="B404" s="127"/>
    </row>
    <row r="405" spans="2:2" x14ac:dyDescent="0.25">
      <c r="B405" s="127"/>
    </row>
    <row r="406" spans="2:2" x14ac:dyDescent="0.25">
      <c r="B406" s="127"/>
    </row>
    <row r="407" spans="2:2" x14ac:dyDescent="0.25">
      <c r="B407" s="127"/>
    </row>
    <row r="408" spans="2:2" x14ac:dyDescent="0.25">
      <c r="B408" s="127"/>
    </row>
    <row r="409" spans="2:2" x14ac:dyDescent="0.25">
      <c r="B409" s="127"/>
    </row>
    <row r="410" spans="2:2" x14ac:dyDescent="0.25">
      <c r="B410" s="131"/>
    </row>
    <row r="411" spans="2:2" x14ac:dyDescent="0.25">
      <c r="B411" s="131"/>
    </row>
    <row r="412" spans="2:2" x14ac:dyDescent="0.25">
      <c r="B412" s="127"/>
    </row>
    <row r="413" spans="2:2" x14ac:dyDescent="0.25">
      <c r="B413" s="127"/>
    </row>
    <row r="414" spans="2:2" x14ac:dyDescent="0.25">
      <c r="B414" s="127"/>
    </row>
    <row r="415" spans="2:2" x14ac:dyDescent="0.25">
      <c r="B415" s="127"/>
    </row>
    <row r="416" spans="2:2" x14ac:dyDescent="0.25">
      <c r="B416" s="127"/>
    </row>
    <row r="417" spans="2:2" x14ac:dyDescent="0.25">
      <c r="B417" s="127"/>
    </row>
    <row r="418" spans="2:2" x14ac:dyDescent="0.25">
      <c r="B418" s="131"/>
    </row>
    <row r="419" spans="2:2" x14ac:dyDescent="0.25">
      <c r="B419" s="131"/>
    </row>
    <row r="420" spans="2:2" x14ac:dyDescent="0.25">
      <c r="B420" s="131"/>
    </row>
    <row r="421" spans="2:2" x14ac:dyDescent="0.25">
      <c r="B421" s="127"/>
    </row>
    <row r="422" spans="2:2" x14ac:dyDescent="0.25">
      <c r="B422" s="127"/>
    </row>
    <row r="423" spans="2:2" x14ac:dyDescent="0.25">
      <c r="B423" s="127"/>
    </row>
    <row r="424" spans="2:2" x14ac:dyDescent="0.25">
      <c r="B424" s="127"/>
    </row>
    <row r="425" spans="2:2" x14ac:dyDescent="0.25">
      <c r="B425" s="127"/>
    </row>
    <row r="426" spans="2:2" x14ac:dyDescent="0.25">
      <c r="B426" s="127"/>
    </row>
    <row r="427" spans="2:2" x14ac:dyDescent="0.25">
      <c r="B427" s="127"/>
    </row>
    <row r="428" spans="2:2" x14ac:dyDescent="0.25">
      <c r="B428" s="127"/>
    </row>
    <row r="429" spans="2:2" x14ac:dyDescent="0.25">
      <c r="B429" s="131"/>
    </row>
    <row r="430" spans="2:2" x14ac:dyDescent="0.25">
      <c r="B430" s="131"/>
    </row>
    <row r="431" spans="2:2" x14ac:dyDescent="0.25">
      <c r="B431" s="127"/>
    </row>
    <row r="432" spans="2:2" x14ac:dyDescent="0.25">
      <c r="B432" s="127"/>
    </row>
    <row r="433" spans="2:2" x14ac:dyDescent="0.25">
      <c r="B433" s="127"/>
    </row>
    <row r="434" spans="2:2" x14ac:dyDescent="0.25">
      <c r="B434" s="127"/>
    </row>
    <row r="435" spans="2:2" x14ac:dyDescent="0.25">
      <c r="B435" s="127"/>
    </row>
    <row r="436" spans="2:2" x14ac:dyDescent="0.25">
      <c r="B436" s="127"/>
    </row>
    <row r="437" spans="2:2" x14ac:dyDescent="0.25">
      <c r="B437" s="131"/>
    </row>
    <row r="438" spans="2:2" x14ac:dyDescent="0.25">
      <c r="B438" s="131"/>
    </row>
    <row r="439" spans="2:2" x14ac:dyDescent="0.25">
      <c r="B439" s="131"/>
    </row>
  </sheetData>
  <sheetProtection formatCells="0" formatColumns="0" formatRows="0" insertHyperlinks="0" sort="0" autoFilter="0" pivotTables="0"/>
  <mergeCells count="7">
    <mergeCell ref="A34:A37"/>
    <mergeCell ref="A39:A43"/>
    <mergeCell ref="B39:C39"/>
    <mergeCell ref="D39:E39"/>
    <mergeCell ref="F39:F43"/>
    <mergeCell ref="F34:F37"/>
    <mergeCell ref="C38:E38"/>
  </mergeCells>
  <conditionalFormatting sqref="F3:F33">
    <cfRule type="containsText" dxfId="18" priority="1" operator="containsText" text="Loai">
      <formula>NOT(ISERROR(SEARCH("Loai",F3)))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1506" r:id="rId4" name="ButtonThongke1">
          <controlPr defaultSize="0" autoLine="0" r:id="rId5">
            <anchor moveWithCells="1">
              <from>
                <xdr:col>8</xdr:col>
                <xdr:colOff>19050</xdr:colOff>
                <xdr:row>5</xdr:row>
                <xdr:rowOff>19050</xdr:rowOff>
              </from>
              <to>
                <xdr:col>9</xdr:col>
                <xdr:colOff>304800</xdr:colOff>
                <xdr:row>7</xdr:row>
                <xdr:rowOff>19050</xdr:rowOff>
              </to>
            </anchor>
          </controlPr>
        </control>
      </mc:Choice>
      <mc:Fallback>
        <control shapeId="21506" r:id="rId4" name="ButtonThongke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92D050"/>
  </sheetPr>
  <dimension ref="A1:CG168"/>
  <sheetViews>
    <sheetView zoomScaleNormal="100" workbookViewId="0">
      <selection activeCell="C8" sqref="C8:C31"/>
    </sheetView>
  </sheetViews>
  <sheetFormatPr defaultRowHeight="15" x14ac:dyDescent="0.25"/>
  <cols>
    <col min="1" max="1" width="9.125" style="42" bestFit="1" customWidth="1"/>
    <col min="2" max="2" width="11.125" style="42" bestFit="1" customWidth="1"/>
    <col min="3" max="3" width="10" style="42" bestFit="1" customWidth="1"/>
    <col min="4" max="4" width="11.625" style="42" bestFit="1" customWidth="1"/>
    <col min="5" max="7" width="9" style="42"/>
    <col min="8" max="8" width="14" style="42" customWidth="1"/>
    <col min="9" max="9" width="11.125" style="42" bestFit="1" customWidth="1"/>
    <col min="10" max="10" width="11.625" style="42" customWidth="1"/>
    <col min="11" max="11" width="11.625" style="42" bestFit="1" customWidth="1"/>
    <col min="12" max="12" width="10" style="42" customWidth="1"/>
    <col min="13" max="13" width="9" style="42"/>
    <col min="14" max="14" width="10" style="42" customWidth="1"/>
    <col min="15" max="15" width="11.25" style="42" customWidth="1"/>
    <col min="16" max="17" width="9" style="42"/>
    <col min="18" max="18" width="10.375" style="42" bestFit="1" customWidth="1"/>
    <col min="19" max="20" width="9" style="42"/>
    <col min="21" max="21" width="10.375" style="42" bestFit="1" customWidth="1"/>
    <col min="22" max="23" width="9" style="42"/>
    <col min="24" max="24" width="10.375" style="42" bestFit="1" customWidth="1"/>
    <col min="25" max="27" width="9" style="42"/>
    <col min="28" max="28" width="16" style="42" customWidth="1"/>
    <col min="29" max="29" width="10.25" style="42" customWidth="1"/>
    <col min="30" max="32" width="9" style="42"/>
    <col min="33" max="33" width="12.625" style="42" customWidth="1"/>
    <col min="34" max="34" width="14" style="42" customWidth="1"/>
    <col min="35" max="35" width="11.5" style="42" customWidth="1"/>
    <col min="36" max="71" width="9" style="42"/>
    <col min="72" max="72" width="10.5" style="42" bestFit="1" customWidth="1"/>
    <col min="73" max="77" width="9" style="42"/>
    <col min="78" max="78" width="10.5" style="42" bestFit="1" customWidth="1"/>
    <col min="79" max="83" width="9" style="42"/>
    <col min="84" max="84" width="10.5" style="42" bestFit="1" customWidth="1"/>
    <col min="85" max="16384" width="9" style="42"/>
  </cols>
  <sheetData>
    <row r="1" spans="1:85" x14ac:dyDescent="0.2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1:85" ht="15.75" thickBot="1" x14ac:dyDescent="0.3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</row>
    <row r="3" spans="1:85" ht="15.75" thickBot="1" x14ac:dyDescent="0.3">
      <c r="A3" s="174" t="s">
        <v>42</v>
      </c>
      <c r="B3" s="25"/>
      <c r="C3" s="25"/>
      <c r="D3" s="25"/>
      <c r="E3" s="25"/>
      <c r="F3" s="25"/>
      <c r="G3" s="25"/>
      <c r="H3" s="175" t="s">
        <v>45</v>
      </c>
      <c r="I3" s="25"/>
      <c r="J3" s="25"/>
      <c r="K3" s="25"/>
      <c r="L3" s="25"/>
      <c r="X3" s="132" t="s">
        <v>49</v>
      </c>
      <c r="AF3" s="45" t="s">
        <v>165</v>
      </c>
      <c r="AL3" s="423" t="s">
        <v>206</v>
      </c>
      <c r="AM3" s="424"/>
      <c r="AN3" s="424"/>
      <c r="AO3" s="424"/>
      <c r="AP3" s="424"/>
      <c r="AQ3" s="424"/>
      <c r="AR3" s="424"/>
      <c r="AS3" s="424"/>
      <c r="AT3" s="424"/>
      <c r="AU3" s="424"/>
      <c r="AV3" s="424"/>
      <c r="AW3" s="424"/>
      <c r="AX3" s="424"/>
      <c r="AY3" s="424"/>
      <c r="AZ3" s="424"/>
      <c r="BA3" s="424"/>
      <c r="BB3" s="424"/>
      <c r="BC3" s="424"/>
      <c r="BD3" s="424"/>
      <c r="BE3" s="424"/>
      <c r="BF3" s="424"/>
      <c r="BG3" s="424"/>
      <c r="BH3" s="424"/>
      <c r="BI3" s="424"/>
      <c r="BJ3" s="424"/>
      <c r="BK3" s="424"/>
      <c r="BL3" s="424"/>
      <c r="BM3" s="424"/>
      <c r="BN3" s="424"/>
      <c r="BO3" s="424"/>
      <c r="BP3" s="424"/>
      <c r="BQ3" s="424"/>
      <c r="BR3" s="424"/>
      <c r="BS3" s="424"/>
      <c r="BT3" s="424"/>
      <c r="BU3" s="424"/>
      <c r="BV3" s="424"/>
      <c r="BW3" s="424"/>
      <c r="BX3" s="424"/>
      <c r="BY3" s="424"/>
      <c r="BZ3" s="424"/>
      <c r="CA3" s="424"/>
      <c r="CB3" s="424"/>
      <c r="CC3" s="424"/>
      <c r="CD3" s="424"/>
      <c r="CE3" s="424"/>
      <c r="CF3" s="424"/>
      <c r="CG3" s="425"/>
    </row>
    <row r="4" spans="1:85" ht="15.75" thickBot="1" x14ac:dyDescent="0.3">
      <c r="A4" s="25"/>
      <c r="B4" s="25"/>
      <c r="C4" s="25"/>
      <c r="D4" s="25"/>
      <c r="E4" s="25"/>
      <c r="F4" s="25"/>
      <c r="G4" s="25"/>
      <c r="H4" s="25" t="s">
        <v>79</v>
      </c>
      <c r="I4" s="25">
        <f>COUNTIF(E8:E107,"Nhan")</f>
        <v>24</v>
      </c>
      <c r="J4" s="25"/>
      <c r="K4" s="25"/>
      <c r="L4" s="25"/>
      <c r="AF4" s="133"/>
      <c r="AG4" s="134" t="s">
        <v>147</v>
      </c>
      <c r="AH4" s="134" t="s">
        <v>168</v>
      </c>
      <c r="AI4" s="135" t="s">
        <v>170</v>
      </c>
      <c r="AJ4" s="108"/>
      <c r="AL4" s="136"/>
      <c r="AM4" s="137"/>
      <c r="AN4" s="137">
        <v>1</v>
      </c>
      <c r="AO4" s="137"/>
      <c r="AP4" s="137"/>
      <c r="AQ4" s="138"/>
      <c r="AR4" s="136"/>
      <c r="AS4" s="137"/>
      <c r="AT4" s="137">
        <v>2</v>
      </c>
      <c r="AU4" s="137"/>
      <c r="AV4" s="137"/>
      <c r="AW4" s="138"/>
      <c r="AX4" s="136"/>
      <c r="AY4" s="137"/>
      <c r="AZ4" s="137">
        <v>3</v>
      </c>
      <c r="BA4" s="137"/>
      <c r="BB4" s="137"/>
      <c r="BC4" s="138"/>
      <c r="BD4" s="136"/>
      <c r="BE4" s="137"/>
      <c r="BF4" s="137"/>
      <c r="BG4" s="137"/>
      <c r="BH4" s="137"/>
      <c r="BI4" s="138"/>
      <c r="BJ4" s="136"/>
      <c r="BK4" s="137"/>
      <c r="BL4" s="137"/>
      <c r="BM4" s="137"/>
      <c r="BN4" s="137"/>
      <c r="BO4" s="138"/>
      <c r="BP4" s="136"/>
      <c r="BQ4" s="137"/>
      <c r="BR4" s="137"/>
      <c r="BS4" s="137"/>
      <c r="BT4" s="137"/>
      <c r="BU4" s="138"/>
      <c r="BV4" s="136"/>
      <c r="BW4" s="137"/>
      <c r="BX4" s="137"/>
      <c r="BY4" s="137"/>
      <c r="BZ4" s="137"/>
      <c r="CA4" s="138"/>
      <c r="CB4" s="136"/>
      <c r="CC4" s="137"/>
      <c r="CD4" s="137"/>
      <c r="CE4" s="137"/>
      <c r="CF4" s="137"/>
      <c r="CG4" s="138"/>
    </row>
    <row r="5" spans="1:85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X5" s="98" t="s">
        <v>29</v>
      </c>
      <c r="Y5" s="98"/>
      <c r="Z5" s="98"/>
      <c r="AA5" s="98" t="s">
        <v>50</v>
      </c>
      <c r="AB5" s="98" t="s">
        <v>51</v>
      </c>
      <c r="AC5" s="98" t="s">
        <v>43</v>
      </c>
      <c r="AF5" s="139" t="s">
        <v>24</v>
      </c>
      <c r="AG5" s="140">
        <f>I4</f>
        <v>24</v>
      </c>
      <c r="AH5" s="141">
        <f>AI5</f>
        <v>24</v>
      </c>
      <c r="AI5" s="142">
        <f>AG5</f>
        <v>24</v>
      </c>
      <c r="AL5" s="93" t="s">
        <v>0</v>
      </c>
      <c r="AM5" s="372" t="s">
        <v>135</v>
      </c>
      <c r="AN5" s="94" t="s">
        <v>136</v>
      </c>
      <c r="AO5" s="94" t="s">
        <v>141</v>
      </c>
      <c r="AP5" s="94" t="s">
        <v>142</v>
      </c>
      <c r="AQ5" s="95" t="s">
        <v>74</v>
      </c>
      <c r="AR5" s="93" t="s">
        <v>0</v>
      </c>
      <c r="AS5" s="372" t="s">
        <v>135</v>
      </c>
      <c r="AT5" s="94" t="s">
        <v>136</v>
      </c>
      <c r="AU5" s="94" t="s">
        <v>141</v>
      </c>
      <c r="AV5" s="94" t="s">
        <v>142</v>
      </c>
      <c r="AW5" s="95" t="s">
        <v>74</v>
      </c>
      <c r="AX5" s="93" t="s">
        <v>0</v>
      </c>
      <c r="AY5" s="372" t="s">
        <v>135</v>
      </c>
      <c r="AZ5" s="94" t="s">
        <v>136</v>
      </c>
      <c r="BA5" s="94" t="s">
        <v>141</v>
      </c>
      <c r="BB5" s="94" t="s">
        <v>142</v>
      </c>
      <c r="BC5" s="95" t="s">
        <v>74</v>
      </c>
      <c r="BD5" s="93" t="s">
        <v>0</v>
      </c>
      <c r="BE5" s="94" t="s">
        <v>135</v>
      </c>
      <c r="BF5" s="94" t="s">
        <v>136</v>
      </c>
      <c r="BG5" s="94" t="s">
        <v>141</v>
      </c>
      <c r="BH5" s="94" t="s">
        <v>142</v>
      </c>
      <c r="BI5" s="95" t="s">
        <v>74</v>
      </c>
      <c r="BJ5" s="93" t="s">
        <v>0</v>
      </c>
      <c r="BK5" s="94" t="s">
        <v>135</v>
      </c>
      <c r="BL5" s="94" t="s">
        <v>136</v>
      </c>
      <c r="BM5" s="94" t="s">
        <v>141</v>
      </c>
      <c r="BN5" s="94" t="s">
        <v>142</v>
      </c>
      <c r="BO5" s="95" t="s">
        <v>74</v>
      </c>
      <c r="BP5" s="337" t="s">
        <v>0</v>
      </c>
      <c r="BQ5" s="94" t="s">
        <v>135</v>
      </c>
      <c r="BR5" s="94" t="s">
        <v>136</v>
      </c>
      <c r="BS5" s="94" t="s">
        <v>141</v>
      </c>
      <c r="BT5" s="94" t="s">
        <v>142</v>
      </c>
      <c r="BU5" s="95" t="s">
        <v>74</v>
      </c>
      <c r="BV5" s="337" t="s">
        <v>0</v>
      </c>
      <c r="BW5" s="94" t="s">
        <v>135</v>
      </c>
      <c r="BX5" s="94" t="s">
        <v>136</v>
      </c>
      <c r="BY5" s="94" t="s">
        <v>141</v>
      </c>
      <c r="BZ5" s="94" t="s">
        <v>142</v>
      </c>
      <c r="CA5" s="95" t="s">
        <v>74</v>
      </c>
      <c r="CB5" s="337" t="s">
        <v>0</v>
      </c>
      <c r="CC5" s="94" t="s">
        <v>135</v>
      </c>
      <c r="CD5" s="94" t="s">
        <v>136</v>
      </c>
      <c r="CE5" s="94" t="s">
        <v>141</v>
      </c>
      <c r="CF5" s="94" t="s">
        <v>142</v>
      </c>
      <c r="CG5" s="95" t="s">
        <v>74</v>
      </c>
    </row>
    <row r="6" spans="1:85" ht="18.75" x14ac:dyDescent="0.25">
      <c r="A6" s="176" t="s">
        <v>0</v>
      </c>
      <c r="B6" s="177" t="s">
        <v>1</v>
      </c>
      <c r="C6" s="176" t="s">
        <v>38</v>
      </c>
      <c r="D6" s="176" t="s">
        <v>39</v>
      </c>
      <c r="E6" s="178" t="s">
        <v>43</v>
      </c>
      <c r="F6" s="25"/>
      <c r="G6" s="25"/>
      <c r="H6" s="176" t="s">
        <v>0</v>
      </c>
      <c r="I6" s="177" t="s">
        <v>1</v>
      </c>
      <c r="J6" s="176" t="s">
        <v>38</v>
      </c>
      <c r="K6" s="176" t="s">
        <v>39</v>
      </c>
      <c r="L6" s="178" t="s">
        <v>43</v>
      </c>
      <c r="M6" s="143"/>
      <c r="N6" s="143"/>
      <c r="O6" s="144" t="s">
        <v>44</v>
      </c>
      <c r="P6" s="143"/>
      <c r="Q6" s="143"/>
      <c r="R6" s="143"/>
      <c r="S6" s="143"/>
      <c r="T6" s="143"/>
      <c r="U6" s="143"/>
      <c r="V6" s="143"/>
      <c r="W6" s="143"/>
      <c r="X6" s="431" t="s">
        <v>145</v>
      </c>
      <c r="Y6" s="430" t="s">
        <v>30</v>
      </c>
      <c r="Z6" s="430" t="s">
        <v>53</v>
      </c>
      <c r="AA6" s="145" t="s">
        <v>52</v>
      </c>
      <c r="AB6" s="99">
        <f>O9</f>
        <v>1.3318373917517791E-2</v>
      </c>
      <c r="AC6" s="426" t="str">
        <f>IF(AB7&lt;=AB8,"ν ≤ [v] Tập hợp mẫu được chọn","ν &gt; [v] Tập hợp mẫu chứa sai số lớn" )</f>
        <v>ν ≤ [v] Tập hợp mẫu được chọn</v>
      </c>
      <c r="AF6" s="96" t="s">
        <v>40</v>
      </c>
      <c r="AG6" s="146">
        <f>IF(AB9=0," - ",AB9)</f>
        <v>2.8770975961290426E-2</v>
      </c>
      <c r="AH6" s="146"/>
      <c r="AI6" s="147">
        <f>IF(AB6=0," - ",AB6)</f>
        <v>1.3318373917517791E-2</v>
      </c>
      <c r="AL6" s="96">
        <v>1</v>
      </c>
      <c r="AM6" s="97" t="s">
        <v>86</v>
      </c>
      <c r="AN6" s="98">
        <v>0.48399999999999999</v>
      </c>
      <c r="AO6" s="99">
        <v>3.3250000000000002E-2</v>
      </c>
      <c r="AP6" s="100">
        <v>1.1055625000000002E-3</v>
      </c>
      <c r="AQ6" s="101" t="s">
        <v>154</v>
      </c>
      <c r="AR6" s="96">
        <v>1</v>
      </c>
      <c r="AS6" s="97" t="s">
        <v>86</v>
      </c>
      <c r="AT6" s="98">
        <v>0.93899999999999995</v>
      </c>
      <c r="AU6" s="99">
        <v>6.8625000000000047E-2</v>
      </c>
      <c r="AV6" s="100">
        <v>4.7093906250000065E-3</v>
      </c>
      <c r="AW6" s="101" t="s">
        <v>154</v>
      </c>
      <c r="AX6" s="96">
        <v>1</v>
      </c>
      <c r="AY6" s="97" t="s">
        <v>86</v>
      </c>
      <c r="AZ6" s="98">
        <v>1.395</v>
      </c>
      <c r="BA6" s="99">
        <v>0.10337499999999999</v>
      </c>
      <c r="BB6" s="100">
        <v>1.0686390624999998E-2</v>
      </c>
      <c r="BC6" s="101" t="s">
        <v>154</v>
      </c>
      <c r="BD6" s="96">
        <v>1</v>
      </c>
      <c r="BE6" s="97" t="s">
        <v>258</v>
      </c>
      <c r="BF6" s="98">
        <v>0.155</v>
      </c>
      <c r="BG6" s="99">
        <v>5.7999999999999996E-3</v>
      </c>
      <c r="BH6" s="100">
        <v>3.3639999999999996E-5</v>
      </c>
      <c r="BI6" s="101" t="s">
        <v>154</v>
      </c>
      <c r="BJ6" s="96">
        <v>1</v>
      </c>
      <c r="BK6" s="97" t="s">
        <v>258</v>
      </c>
      <c r="BL6" s="98">
        <v>0.17799999999999999</v>
      </c>
      <c r="BM6" s="99">
        <v>5.9999999999999776E-3</v>
      </c>
      <c r="BN6" s="100">
        <v>3.599999999999973E-5</v>
      </c>
      <c r="BO6" s="101" t="s">
        <v>154</v>
      </c>
      <c r="BP6" s="96"/>
      <c r="BQ6" s="97"/>
      <c r="BR6" s="333"/>
      <c r="BS6" s="99"/>
      <c r="BT6" s="100"/>
      <c r="BU6" s="331"/>
      <c r="BV6" s="96"/>
      <c r="BW6" s="97"/>
      <c r="BX6" s="333"/>
      <c r="BY6" s="99"/>
      <c r="BZ6" s="100"/>
      <c r="CA6" s="331"/>
      <c r="CB6" s="96"/>
      <c r="CC6" s="97"/>
      <c r="CD6" s="333"/>
      <c r="CE6" s="99"/>
      <c r="CF6" s="100"/>
      <c r="CG6" s="331"/>
    </row>
    <row r="7" spans="1:85" ht="18.75" x14ac:dyDescent="0.25">
      <c r="A7" s="176"/>
      <c r="B7" s="177"/>
      <c r="C7" s="179" t="s">
        <v>40</v>
      </c>
      <c r="D7" s="180" t="s">
        <v>41</v>
      </c>
      <c r="E7" s="181"/>
      <c r="F7" s="25"/>
      <c r="G7" s="25"/>
      <c r="H7" s="176"/>
      <c r="I7" s="177"/>
      <c r="J7" s="176" t="s">
        <v>40</v>
      </c>
      <c r="K7" s="180" t="s">
        <v>41</v>
      </c>
      <c r="L7" s="181"/>
      <c r="M7" s="41"/>
      <c r="N7" s="149"/>
      <c r="O7" s="149"/>
      <c r="P7" s="41"/>
      <c r="Q7" s="149"/>
      <c r="R7" s="149"/>
      <c r="S7" s="41"/>
      <c r="T7" s="149"/>
      <c r="U7" s="149"/>
      <c r="V7" s="41"/>
      <c r="W7" s="149"/>
      <c r="X7" s="431"/>
      <c r="Y7" s="430"/>
      <c r="Z7" s="430"/>
      <c r="AA7" s="150" t="s">
        <v>54</v>
      </c>
      <c r="AB7" s="114">
        <f>AB6/AB12</f>
        <v>2.7149188773128375E-2</v>
      </c>
      <c r="AC7" s="427"/>
      <c r="AF7" s="96" t="s">
        <v>25</v>
      </c>
      <c r="AG7" s="146">
        <f>IF(AB10=0," - ",AB10)</f>
        <v>1.0806000361048043</v>
      </c>
      <c r="AH7" s="146"/>
      <c r="AI7" s="147">
        <f>IF(AB7=0," - ",AB7)</f>
        <v>2.7149188773128375E-2</v>
      </c>
      <c r="AL7" s="96">
        <v>2</v>
      </c>
      <c r="AM7" s="97" t="s">
        <v>89</v>
      </c>
      <c r="AN7" s="98">
        <v>0.49</v>
      </c>
      <c r="AO7" s="99">
        <v>2.7249999999999996E-2</v>
      </c>
      <c r="AP7" s="100">
        <v>7.4256249999999984E-4</v>
      </c>
      <c r="AQ7" s="101" t="s">
        <v>154</v>
      </c>
      <c r="AR7" s="96">
        <v>2</v>
      </c>
      <c r="AS7" s="97" t="s">
        <v>89</v>
      </c>
      <c r="AT7" s="98">
        <v>0.95699999999999996</v>
      </c>
      <c r="AU7" s="99">
        <v>5.0625000000000031E-2</v>
      </c>
      <c r="AV7" s="100">
        <v>2.5628906250000031E-3</v>
      </c>
      <c r="AW7" s="101" t="s">
        <v>154</v>
      </c>
      <c r="AX7" s="96">
        <v>2</v>
      </c>
      <c r="AY7" s="97" t="s">
        <v>89</v>
      </c>
      <c r="AZ7" s="98">
        <v>1.423</v>
      </c>
      <c r="BA7" s="99">
        <v>7.537499999999997E-2</v>
      </c>
      <c r="BB7" s="100">
        <v>5.681390624999995E-3</v>
      </c>
      <c r="BC7" s="101" t="s">
        <v>154</v>
      </c>
      <c r="BD7" s="96">
        <v>2</v>
      </c>
      <c r="BE7" s="97" t="s">
        <v>13</v>
      </c>
      <c r="BF7" s="98">
        <v>0.14699999999999999</v>
      </c>
      <c r="BG7" s="99">
        <v>2.2000000000000075E-3</v>
      </c>
      <c r="BH7" s="100">
        <v>4.8400000000000333E-6</v>
      </c>
      <c r="BI7" s="101" t="s">
        <v>154</v>
      </c>
      <c r="BJ7" s="96">
        <v>2</v>
      </c>
      <c r="BK7" s="97" t="s">
        <v>13</v>
      </c>
      <c r="BL7" s="98">
        <v>0.16900000000000001</v>
      </c>
      <c r="BM7" s="99">
        <v>3.0000000000000027E-3</v>
      </c>
      <c r="BN7" s="100">
        <v>9.0000000000000155E-6</v>
      </c>
      <c r="BO7" s="101" t="s">
        <v>154</v>
      </c>
      <c r="BP7" s="96"/>
      <c r="BQ7" s="97"/>
      <c r="BR7" s="333"/>
      <c r="BS7" s="99"/>
      <c r="BT7" s="100"/>
      <c r="BU7" s="331"/>
      <c r="BV7" s="96"/>
      <c r="BW7" s="97"/>
      <c r="BX7" s="333"/>
      <c r="BY7" s="99"/>
      <c r="BZ7" s="100"/>
      <c r="CA7" s="331"/>
      <c r="CB7" s="96"/>
      <c r="CC7" s="97"/>
      <c r="CD7" s="333"/>
      <c r="CE7" s="99"/>
      <c r="CF7" s="100"/>
      <c r="CG7" s="331"/>
    </row>
    <row r="8" spans="1:85" ht="24.75" customHeight="1" x14ac:dyDescent="0.25">
      <c r="A8" s="98">
        <v>1</v>
      </c>
      <c r="B8" s="151" t="s">
        <v>86</v>
      </c>
      <c r="C8" s="283">
        <v>1</v>
      </c>
      <c r="D8" s="152">
        <v>0.48399999999999999</v>
      </c>
      <c r="E8" s="153" t="s">
        <v>154</v>
      </c>
      <c r="H8" s="98">
        <v>1</v>
      </c>
      <c r="I8" s="151" t="s">
        <v>86</v>
      </c>
      <c r="J8" s="283">
        <v>1</v>
      </c>
      <c r="K8" s="152">
        <v>0.48399999999999999</v>
      </c>
      <c r="L8" s="153" t="s">
        <v>154</v>
      </c>
      <c r="M8" s="41"/>
      <c r="O8" s="154">
        <v>0.49056250000000007</v>
      </c>
      <c r="P8" s="154">
        <v>2.662500000000001E-2</v>
      </c>
      <c r="Q8" s="149"/>
      <c r="R8" s="149"/>
      <c r="S8" s="41"/>
      <c r="T8" s="149"/>
      <c r="U8" s="149"/>
      <c r="V8" s="41"/>
      <c r="W8" s="149"/>
      <c r="X8" s="431"/>
      <c r="Y8" s="430"/>
      <c r="Z8" s="430"/>
      <c r="AA8" s="98" t="s">
        <v>55</v>
      </c>
      <c r="AB8" s="152">
        <v>0.3</v>
      </c>
      <c r="AC8" s="428"/>
      <c r="AF8" s="155" t="s">
        <v>55</v>
      </c>
      <c r="AG8" s="146">
        <f>IF(AB11=0," - ",AB11)</f>
        <v>0.3</v>
      </c>
      <c r="AH8" s="146">
        <v>0.3</v>
      </c>
      <c r="AI8" s="147">
        <f>IF(AB8=0," - ",AB8)</f>
        <v>0.3</v>
      </c>
      <c r="AL8" s="96">
        <v>3</v>
      </c>
      <c r="AM8" s="97" t="s">
        <v>91</v>
      </c>
      <c r="AN8" s="98">
        <v>0.51500000000000001</v>
      </c>
      <c r="AO8" s="99">
        <v>2.2499999999999742E-3</v>
      </c>
      <c r="AP8" s="100">
        <v>5.0624999999998842E-6</v>
      </c>
      <c r="AQ8" s="101" t="s">
        <v>154</v>
      </c>
      <c r="AR8" s="96">
        <v>3</v>
      </c>
      <c r="AS8" s="97" t="s">
        <v>91</v>
      </c>
      <c r="AT8" s="98">
        <v>1.002</v>
      </c>
      <c r="AU8" s="99">
        <v>5.6249999999999911E-3</v>
      </c>
      <c r="AV8" s="100">
        <v>3.1640624999999903E-5</v>
      </c>
      <c r="AW8" s="101" t="s">
        <v>154</v>
      </c>
      <c r="AX8" s="96">
        <v>3</v>
      </c>
      <c r="AY8" s="97" t="s">
        <v>91</v>
      </c>
      <c r="AZ8" s="98">
        <v>1.49</v>
      </c>
      <c r="BA8" s="99">
        <v>8.3750000000000213E-3</v>
      </c>
      <c r="BB8" s="100">
        <v>7.0140625000000351E-5</v>
      </c>
      <c r="BC8" s="101" t="s">
        <v>154</v>
      </c>
      <c r="BD8" s="96">
        <v>3</v>
      </c>
      <c r="BE8" s="97" t="s">
        <v>264</v>
      </c>
      <c r="BF8" s="98">
        <v>0.151</v>
      </c>
      <c r="BG8" s="99">
        <v>1.799999999999996E-3</v>
      </c>
      <c r="BH8" s="100">
        <v>3.2399999999999859E-6</v>
      </c>
      <c r="BI8" s="101" t="s">
        <v>154</v>
      </c>
      <c r="BJ8" s="96">
        <v>3</v>
      </c>
      <c r="BK8" s="97" t="s">
        <v>264</v>
      </c>
      <c r="BL8" s="98">
        <v>0.17499999999999999</v>
      </c>
      <c r="BM8" s="99">
        <v>2.9999999999999749E-3</v>
      </c>
      <c r="BN8" s="100">
        <v>8.9999999999998495E-6</v>
      </c>
      <c r="BO8" s="101" t="s">
        <v>154</v>
      </c>
      <c r="BP8" s="96"/>
      <c r="BQ8" s="97"/>
      <c r="BR8" s="333"/>
      <c r="BS8" s="99"/>
      <c r="BT8" s="100"/>
      <c r="BU8" s="331"/>
      <c r="BV8" s="96"/>
      <c r="BW8" s="97"/>
      <c r="BX8" s="333"/>
      <c r="BY8" s="99"/>
      <c r="BZ8" s="100"/>
      <c r="CA8" s="331"/>
      <c r="CB8" s="96"/>
      <c r="CC8" s="97"/>
      <c r="CD8" s="333"/>
      <c r="CE8" s="99"/>
      <c r="CF8" s="100"/>
      <c r="CG8" s="331"/>
    </row>
    <row r="9" spans="1:85" ht="18.75" customHeight="1" x14ac:dyDescent="0.25">
      <c r="A9" s="98">
        <v>2</v>
      </c>
      <c r="B9" s="151" t="s">
        <v>86</v>
      </c>
      <c r="C9" s="283">
        <v>2</v>
      </c>
      <c r="D9" s="152">
        <v>0.93899999999999995</v>
      </c>
      <c r="E9" s="153" t="s">
        <v>154</v>
      </c>
      <c r="H9" s="98">
        <v>2</v>
      </c>
      <c r="I9" s="151" t="s">
        <v>86</v>
      </c>
      <c r="J9" s="283">
        <v>2</v>
      </c>
      <c r="K9" s="152">
        <v>0.93899999999999995</v>
      </c>
      <c r="L9" s="153" t="s">
        <v>154</v>
      </c>
      <c r="M9" s="41"/>
      <c r="O9" s="154">
        <v>1.3318373917517791E-2</v>
      </c>
      <c r="P9" s="154">
        <v>2.8770975961290426E-2</v>
      </c>
      <c r="Q9" s="149"/>
      <c r="R9" s="149"/>
      <c r="S9" s="41"/>
      <c r="T9" s="149"/>
      <c r="U9" s="149"/>
      <c r="V9" s="41"/>
      <c r="W9" s="149"/>
      <c r="X9" s="431"/>
      <c r="Y9" s="430"/>
      <c r="Z9" s="430" t="s">
        <v>56</v>
      </c>
      <c r="AA9" s="150" t="s">
        <v>57</v>
      </c>
      <c r="AB9" s="99">
        <f>P9</f>
        <v>2.8770975961290426E-2</v>
      </c>
      <c r="AC9" s="426" t="str">
        <f>IF(AB10&lt;=AB11,"ν ≤ [v] Tập hợp mẫu được chọn","ν &gt; [v] Tập hợp mẫu chứa sai số lớn" )</f>
        <v>ν &gt; [v] Tập hợp mẫu chứa sai số lớn</v>
      </c>
      <c r="AF9" s="139" t="s">
        <v>164</v>
      </c>
      <c r="AG9" s="146" t="str">
        <f>IF(AG7&lt;=AG8,"ν ≤ [v] OK",IF(AG8=" - ","","ν &gt; [v]  not OK"))</f>
        <v>ν &gt; [v]  not OK</v>
      </c>
      <c r="AH9" s="156" t="s">
        <v>169</v>
      </c>
      <c r="AI9" s="101" t="str">
        <f>IF(AB7&lt;=AB8,"ν ≤ [v] OK","ν &gt; [v] not OK" )</f>
        <v>ν ≤ [v] OK</v>
      </c>
      <c r="AL9" s="96">
        <v>4</v>
      </c>
      <c r="AM9" s="97" t="s">
        <v>93</v>
      </c>
      <c r="AN9" s="98">
        <v>0.501</v>
      </c>
      <c r="AO9" s="99">
        <v>1.6249999999999987E-2</v>
      </c>
      <c r="AP9" s="100">
        <v>2.6406249999999954E-4</v>
      </c>
      <c r="AQ9" s="101" t="s">
        <v>154</v>
      </c>
      <c r="AR9" s="96">
        <v>4</v>
      </c>
      <c r="AS9" s="97" t="s">
        <v>93</v>
      </c>
      <c r="AT9" s="98">
        <v>0.97799999999999998</v>
      </c>
      <c r="AU9" s="99">
        <v>2.9625000000000012E-2</v>
      </c>
      <c r="AV9" s="100">
        <v>8.7764062500000071E-4</v>
      </c>
      <c r="AW9" s="101" t="s">
        <v>154</v>
      </c>
      <c r="AX9" s="96">
        <v>4</v>
      </c>
      <c r="AY9" s="97" t="s">
        <v>93</v>
      </c>
      <c r="AZ9" s="98">
        <v>1.4550000000000001</v>
      </c>
      <c r="BA9" s="99">
        <v>4.3374999999999941E-2</v>
      </c>
      <c r="BB9" s="100">
        <v>1.8813906249999948E-3</v>
      </c>
      <c r="BC9" s="101" t="s">
        <v>154</v>
      </c>
      <c r="BD9" s="96">
        <v>4</v>
      </c>
      <c r="BE9" s="97" t="s">
        <v>23</v>
      </c>
      <c r="BF9" s="98">
        <v>0.14799999999999999</v>
      </c>
      <c r="BG9" s="99">
        <v>1.2000000000000066E-3</v>
      </c>
      <c r="BH9" s="100">
        <v>1.4400000000000159E-6</v>
      </c>
      <c r="BI9" s="101" t="s">
        <v>154</v>
      </c>
      <c r="BJ9" s="96">
        <v>4</v>
      </c>
      <c r="BK9" s="97" t="s">
        <v>23</v>
      </c>
      <c r="BL9" s="98">
        <v>0.17100000000000001</v>
      </c>
      <c r="BM9" s="99">
        <v>1.0000000000000009E-3</v>
      </c>
      <c r="BN9" s="100">
        <v>1.0000000000000019E-6</v>
      </c>
      <c r="BO9" s="101" t="s">
        <v>154</v>
      </c>
      <c r="BP9" s="96"/>
      <c r="BQ9" s="97"/>
      <c r="BR9" s="333"/>
      <c r="BS9" s="99"/>
      <c r="BT9" s="100"/>
      <c r="BU9" s="331"/>
      <c r="BV9" s="96"/>
      <c r="BW9" s="97"/>
      <c r="BX9" s="333"/>
      <c r="BY9" s="99"/>
      <c r="BZ9" s="100"/>
      <c r="CA9" s="331"/>
      <c r="CB9" s="96"/>
      <c r="CC9" s="97"/>
      <c r="CD9" s="333"/>
      <c r="CE9" s="99"/>
      <c r="CF9" s="100"/>
      <c r="CG9" s="331"/>
    </row>
    <row r="10" spans="1:85" ht="18" x14ac:dyDescent="0.25">
      <c r="A10" s="98">
        <v>3</v>
      </c>
      <c r="B10" s="151" t="s">
        <v>86</v>
      </c>
      <c r="C10" s="283">
        <v>3</v>
      </c>
      <c r="D10" s="152">
        <v>1.395</v>
      </c>
      <c r="E10" s="153" t="s">
        <v>154</v>
      </c>
      <c r="H10" s="98">
        <v>3</v>
      </c>
      <c r="I10" s="151" t="s">
        <v>86</v>
      </c>
      <c r="J10" s="283">
        <v>3</v>
      </c>
      <c r="K10" s="152">
        <v>1.395</v>
      </c>
      <c r="L10" s="153" t="s">
        <v>154</v>
      </c>
      <c r="M10" s="41"/>
      <c r="O10" s="154">
        <v>0.9840430279622655</v>
      </c>
      <c r="P10" s="154">
        <v>5.3273495670071162E-2</v>
      </c>
      <c r="Q10" s="149"/>
      <c r="R10" s="149"/>
      <c r="S10" s="41"/>
      <c r="T10" s="149"/>
      <c r="U10" s="149"/>
      <c r="V10" s="41"/>
      <c r="W10" s="149"/>
      <c r="X10" s="431"/>
      <c r="Y10" s="430"/>
      <c r="Z10" s="430"/>
      <c r="AA10" s="98" t="s">
        <v>58</v>
      </c>
      <c r="AB10" s="114">
        <f>AB9/AB14</f>
        <v>1.0806000361048043</v>
      </c>
      <c r="AC10" s="427"/>
      <c r="AF10" s="139" t="s">
        <v>163</v>
      </c>
      <c r="AG10" s="146">
        <f>IF(AB14=0," - ",AB14)</f>
        <v>2.662500000000001E-2</v>
      </c>
      <c r="AH10" s="146" t="str">
        <f>IF(AB13=""," - ",AB13)</f>
        <v>26.131°</v>
      </c>
      <c r="AI10" s="147">
        <f>IF(AB12=0," - ",AB12)</f>
        <v>0.49056250000000007</v>
      </c>
      <c r="AL10" s="96">
        <v>5</v>
      </c>
      <c r="AM10" s="97" t="s">
        <v>95</v>
      </c>
      <c r="AN10" s="98">
        <v>0.51500000000000001</v>
      </c>
      <c r="AO10" s="99">
        <v>2.2499999999999742E-3</v>
      </c>
      <c r="AP10" s="100">
        <v>5.0624999999998842E-6</v>
      </c>
      <c r="AQ10" s="101" t="s">
        <v>154</v>
      </c>
      <c r="AR10" s="96">
        <v>5</v>
      </c>
      <c r="AS10" s="97" t="s">
        <v>95</v>
      </c>
      <c r="AT10" s="98">
        <v>1.002</v>
      </c>
      <c r="AU10" s="99">
        <v>5.6249999999999911E-3</v>
      </c>
      <c r="AV10" s="100">
        <v>3.1640624999999903E-5</v>
      </c>
      <c r="AW10" s="101" t="s">
        <v>154</v>
      </c>
      <c r="AX10" s="96">
        <v>5</v>
      </c>
      <c r="AY10" s="97" t="s">
        <v>95</v>
      </c>
      <c r="AZ10" s="98">
        <v>1.49</v>
      </c>
      <c r="BA10" s="99">
        <v>8.3750000000000213E-3</v>
      </c>
      <c r="BB10" s="100">
        <v>7.0140625000000351E-5</v>
      </c>
      <c r="BC10" s="101" t="s">
        <v>154</v>
      </c>
      <c r="BD10" s="96">
        <v>5</v>
      </c>
      <c r="BE10" s="97" t="s">
        <v>245</v>
      </c>
      <c r="BF10" s="98">
        <v>0.14499999999999999</v>
      </c>
      <c r="BG10" s="99">
        <v>4.2000000000000093E-3</v>
      </c>
      <c r="BH10" s="100">
        <v>1.7640000000000078E-5</v>
      </c>
      <c r="BI10" s="101" t="s">
        <v>154</v>
      </c>
      <c r="BJ10" s="96">
        <v>5</v>
      </c>
      <c r="BK10" s="97" t="s">
        <v>245</v>
      </c>
      <c r="BL10" s="98">
        <v>0.16700000000000001</v>
      </c>
      <c r="BM10" s="99">
        <v>5.0000000000000044E-3</v>
      </c>
      <c r="BN10" s="100">
        <v>2.5000000000000045E-5</v>
      </c>
      <c r="BO10" s="101" t="s">
        <v>154</v>
      </c>
      <c r="BP10" s="96"/>
      <c r="BQ10" s="97"/>
      <c r="BR10" s="333"/>
      <c r="BS10" s="99"/>
      <c r="BT10" s="100"/>
      <c r="BU10" s="331"/>
      <c r="BV10" s="96"/>
      <c r="BW10" s="97"/>
      <c r="BX10" s="333"/>
      <c r="BY10" s="99"/>
      <c r="BZ10" s="100"/>
      <c r="CA10" s="331"/>
      <c r="CB10" s="96"/>
      <c r="CC10" s="97"/>
      <c r="CD10" s="333"/>
      <c r="CE10" s="99"/>
      <c r="CF10" s="100"/>
      <c r="CG10" s="331"/>
    </row>
    <row r="11" spans="1:85" ht="19.5" customHeight="1" x14ac:dyDescent="0.25">
      <c r="A11" s="98">
        <v>4</v>
      </c>
      <c r="B11" s="151" t="s">
        <v>89</v>
      </c>
      <c r="C11" s="283">
        <v>1</v>
      </c>
      <c r="D11" s="152">
        <v>0.49</v>
      </c>
      <c r="E11" s="153" t="s">
        <v>154</v>
      </c>
      <c r="H11" s="98">
        <v>4</v>
      </c>
      <c r="I11" s="151" t="s">
        <v>89</v>
      </c>
      <c r="J11" s="283">
        <v>1</v>
      </c>
      <c r="K11" s="152">
        <v>0.49</v>
      </c>
      <c r="L11" s="153" t="s">
        <v>154</v>
      </c>
      <c r="M11" s="41"/>
      <c r="O11" s="394">
        <v>1356.7076863940804</v>
      </c>
      <c r="P11" s="154">
        <v>22</v>
      </c>
      <c r="Q11" s="149"/>
      <c r="R11" s="149"/>
      <c r="S11" s="41"/>
      <c r="T11" s="149"/>
      <c r="U11" s="149"/>
      <c r="V11" s="41"/>
      <c r="W11" s="149"/>
      <c r="X11" s="431"/>
      <c r="Y11" s="430"/>
      <c r="Z11" s="430"/>
      <c r="AA11" s="98" t="s">
        <v>55</v>
      </c>
      <c r="AB11" s="152">
        <v>0.3</v>
      </c>
      <c r="AC11" s="428"/>
      <c r="AF11" s="139" t="s">
        <v>160</v>
      </c>
      <c r="AG11" s="146">
        <f>IF(AB15=0," - ",AB15)</f>
        <v>0.95</v>
      </c>
      <c r="AH11" s="146"/>
      <c r="AI11" s="157">
        <f>AG11</f>
        <v>0.95</v>
      </c>
      <c r="AL11" s="96">
        <v>6</v>
      </c>
      <c r="AM11" s="97" t="s">
        <v>253</v>
      </c>
      <c r="AN11" s="98">
        <v>0.53</v>
      </c>
      <c r="AO11" s="99">
        <v>1.2750000000000039E-2</v>
      </c>
      <c r="AP11" s="100">
        <v>1.62562500000001E-4</v>
      </c>
      <c r="AQ11" s="101" t="s">
        <v>154</v>
      </c>
      <c r="AR11" s="96">
        <v>6</v>
      </c>
      <c r="AS11" s="97" t="s">
        <v>253</v>
      </c>
      <c r="AT11" s="98">
        <v>1.034</v>
      </c>
      <c r="AU11" s="99">
        <v>2.6375000000000037E-2</v>
      </c>
      <c r="AV11" s="100">
        <v>6.9564062500000192E-4</v>
      </c>
      <c r="AW11" s="101" t="s">
        <v>154</v>
      </c>
      <c r="AX11" s="96">
        <v>6</v>
      </c>
      <c r="AY11" s="97" t="s">
        <v>253</v>
      </c>
      <c r="AZ11" s="98">
        <v>1.538</v>
      </c>
      <c r="BA11" s="99">
        <v>3.9625000000000021E-2</v>
      </c>
      <c r="BB11" s="100">
        <v>1.5701406250000017E-3</v>
      </c>
      <c r="BC11" s="101" t="s">
        <v>154</v>
      </c>
      <c r="BD11" s="96">
        <v>6</v>
      </c>
      <c r="BE11" s="97"/>
      <c r="BF11" s="98"/>
      <c r="BG11" s="99"/>
      <c r="BH11" s="100"/>
      <c r="BI11" s="101"/>
      <c r="BJ11" s="96">
        <v>6</v>
      </c>
      <c r="BK11" s="97"/>
      <c r="BL11" s="98"/>
      <c r="BM11" s="99"/>
      <c r="BN11" s="100"/>
      <c r="BO11" s="101"/>
      <c r="BP11" s="96"/>
      <c r="BQ11" s="97"/>
      <c r="BR11" s="333"/>
      <c r="BS11" s="99"/>
      <c r="BT11" s="100"/>
      <c r="BU11" s="331"/>
      <c r="BV11" s="96"/>
      <c r="BW11" s="97"/>
      <c r="BX11" s="333"/>
      <c r="BY11" s="99"/>
      <c r="BZ11" s="100"/>
      <c r="CA11" s="331"/>
      <c r="CB11" s="96"/>
      <c r="CC11" s="97"/>
      <c r="CD11" s="333"/>
      <c r="CE11" s="99"/>
      <c r="CF11" s="100"/>
      <c r="CG11" s="331"/>
    </row>
    <row r="12" spans="1:85" ht="17.25" x14ac:dyDescent="0.25">
      <c r="A12" s="98">
        <v>5</v>
      </c>
      <c r="B12" s="151" t="s">
        <v>89</v>
      </c>
      <c r="C12" s="283">
        <v>2</v>
      </c>
      <c r="D12" s="152">
        <v>0.95699999999999996</v>
      </c>
      <c r="E12" s="153" t="s">
        <v>154</v>
      </c>
      <c r="H12" s="98">
        <v>5</v>
      </c>
      <c r="I12" s="151" t="s">
        <v>89</v>
      </c>
      <c r="J12" s="283">
        <v>2</v>
      </c>
      <c r="K12" s="152">
        <v>0.95699999999999996</v>
      </c>
      <c r="L12" s="153" t="s">
        <v>154</v>
      </c>
      <c r="M12" s="41"/>
      <c r="O12" s="154">
        <v>3.8504250625000003</v>
      </c>
      <c r="P12" s="154">
        <v>6.2437437500000005E-2</v>
      </c>
      <c r="Q12" s="149"/>
      <c r="R12" s="149"/>
      <c r="S12" s="41"/>
      <c r="T12" s="149"/>
      <c r="U12" s="149"/>
      <c r="V12" s="41"/>
      <c r="W12" s="149"/>
      <c r="X12" s="431"/>
      <c r="Y12" s="430" t="s">
        <v>31</v>
      </c>
      <c r="Z12" s="430" t="s">
        <v>32</v>
      </c>
      <c r="AA12" s="98" t="s">
        <v>59</v>
      </c>
      <c r="AB12" s="99">
        <f>O8</f>
        <v>0.49056250000000007</v>
      </c>
      <c r="AC12" s="422"/>
      <c r="AF12" s="139" t="s">
        <v>161</v>
      </c>
      <c r="AG12" s="146">
        <f t="shared" ref="AG12" si="0">IF(AB16=0," - ",AB16)</f>
        <v>1.72</v>
      </c>
      <c r="AH12" s="146"/>
      <c r="AI12" s="157">
        <f>AG12</f>
        <v>1.72</v>
      </c>
      <c r="AL12" s="96">
        <v>7</v>
      </c>
      <c r="AM12" s="97" t="s">
        <v>254</v>
      </c>
      <c r="AN12" s="98">
        <v>0.55000000000000004</v>
      </c>
      <c r="AO12" s="99">
        <v>3.2750000000000057E-2</v>
      </c>
      <c r="AP12" s="100">
        <v>1.0725625000000036E-3</v>
      </c>
      <c r="AQ12" s="101" t="s">
        <v>154</v>
      </c>
      <c r="AR12" s="96">
        <v>7</v>
      </c>
      <c r="AS12" s="97" t="s">
        <v>254</v>
      </c>
      <c r="AT12" s="98">
        <v>1.07</v>
      </c>
      <c r="AU12" s="99">
        <v>6.2375000000000069E-2</v>
      </c>
      <c r="AV12" s="100">
        <v>3.8906406250000087E-3</v>
      </c>
      <c r="AW12" s="101" t="s">
        <v>154</v>
      </c>
      <c r="AX12" s="96">
        <v>7</v>
      </c>
      <c r="AY12" s="97" t="s">
        <v>254</v>
      </c>
      <c r="AZ12" s="98">
        <v>1.591</v>
      </c>
      <c r="BA12" s="99">
        <v>9.2624999999999957E-2</v>
      </c>
      <c r="BB12" s="100">
        <v>8.579390624999992E-3</v>
      </c>
      <c r="BC12" s="101" t="s">
        <v>154</v>
      </c>
      <c r="BD12" s="96">
        <v>7</v>
      </c>
      <c r="BE12" s="97"/>
      <c r="BF12" s="98"/>
      <c r="BG12" s="99"/>
      <c r="BH12" s="100"/>
      <c r="BI12" s="101"/>
      <c r="BJ12" s="96">
        <v>7</v>
      </c>
      <c r="BK12" s="97"/>
      <c r="BL12" s="98"/>
      <c r="BM12" s="99"/>
      <c r="BN12" s="100"/>
      <c r="BO12" s="101"/>
      <c r="BP12" s="96"/>
      <c r="BQ12" s="97"/>
      <c r="BR12" s="333"/>
      <c r="BS12" s="99"/>
      <c r="BT12" s="100"/>
      <c r="BU12" s="331"/>
      <c r="BV12" s="96"/>
      <c r="BW12" s="97"/>
      <c r="BX12" s="333"/>
      <c r="BY12" s="99"/>
      <c r="BZ12" s="100"/>
      <c r="CA12" s="331"/>
      <c r="CB12" s="96"/>
      <c r="CC12" s="97"/>
      <c r="CD12" s="333"/>
      <c r="CE12" s="99"/>
      <c r="CF12" s="100"/>
      <c r="CG12" s="331"/>
    </row>
    <row r="13" spans="1:85" ht="17.25" x14ac:dyDescent="0.25">
      <c r="A13" s="98">
        <v>6</v>
      </c>
      <c r="B13" s="151" t="s">
        <v>89</v>
      </c>
      <c r="C13" s="283">
        <v>3</v>
      </c>
      <c r="D13" s="152">
        <v>1.423</v>
      </c>
      <c r="E13" s="153" t="s">
        <v>154</v>
      </c>
      <c r="H13" s="98">
        <v>6</v>
      </c>
      <c r="I13" s="151" t="s">
        <v>89</v>
      </c>
      <c r="J13" s="283">
        <v>3</v>
      </c>
      <c r="K13" s="152">
        <v>1.423</v>
      </c>
      <c r="L13" s="153" t="s">
        <v>154</v>
      </c>
      <c r="M13" s="41"/>
      <c r="N13" s="149"/>
      <c r="O13" s="149"/>
      <c r="P13" s="41"/>
      <c r="Q13" s="149"/>
      <c r="R13" s="149"/>
      <c r="S13" s="41"/>
      <c r="T13" s="149"/>
      <c r="U13" s="149"/>
      <c r="V13" s="41"/>
      <c r="W13" s="149"/>
      <c r="X13" s="431"/>
      <c r="Y13" s="430"/>
      <c r="Z13" s="430"/>
      <c r="AA13" s="98" t="s">
        <v>60</v>
      </c>
      <c r="AB13" s="158" t="str">
        <f>TEXT(DEGREES(ATAN(AB12)),"0.###")&amp;"°"</f>
        <v>26.131°</v>
      </c>
      <c r="AC13" s="422"/>
      <c r="AF13" s="139" t="s">
        <v>162</v>
      </c>
      <c r="AG13" s="146">
        <f>IF(AB20=0," - ",AB20)</f>
        <v>1.8586320621002632</v>
      </c>
      <c r="AH13" s="146"/>
      <c r="AI13" s="159">
        <f>IF(AB17=0," - ",AB17)</f>
        <v>4.6696604689780805E-2</v>
      </c>
      <c r="AL13" s="96">
        <v>8</v>
      </c>
      <c r="AM13" s="97" t="s">
        <v>255</v>
      </c>
      <c r="AN13" s="98">
        <v>0.55300000000000005</v>
      </c>
      <c r="AO13" s="99">
        <v>3.575000000000006E-2</v>
      </c>
      <c r="AP13" s="100">
        <v>1.2780625000000042E-3</v>
      </c>
      <c r="AQ13" s="101" t="s">
        <v>154</v>
      </c>
      <c r="AR13" s="96">
        <v>8</v>
      </c>
      <c r="AS13" s="97" t="s">
        <v>255</v>
      </c>
      <c r="AT13" s="98">
        <v>1.079</v>
      </c>
      <c r="AU13" s="99">
        <v>7.1374999999999966E-2</v>
      </c>
      <c r="AV13" s="100">
        <v>5.0943906249999952E-3</v>
      </c>
      <c r="AW13" s="101" t="s">
        <v>154</v>
      </c>
      <c r="AX13" s="96">
        <v>8</v>
      </c>
      <c r="AY13" s="97" t="s">
        <v>255</v>
      </c>
      <c r="AZ13" s="98">
        <v>1.605</v>
      </c>
      <c r="BA13" s="99">
        <v>0.10662499999999997</v>
      </c>
      <c r="BB13" s="100">
        <v>1.1368890624999994E-2</v>
      </c>
      <c r="BC13" s="101" t="s">
        <v>154</v>
      </c>
      <c r="BD13" s="96">
        <v>8</v>
      </c>
      <c r="BE13" s="97"/>
      <c r="BF13" s="98"/>
      <c r="BG13" s="99"/>
      <c r="BH13" s="100"/>
      <c r="BI13" s="101"/>
      <c r="BJ13" s="96">
        <v>8</v>
      </c>
      <c r="BK13" s="97"/>
      <c r="BL13" s="98"/>
      <c r="BM13" s="99"/>
      <c r="BN13" s="100"/>
      <c r="BO13" s="101"/>
      <c r="BP13" s="96"/>
      <c r="BQ13" s="97"/>
      <c r="BR13" s="333"/>
      <c r="BS13" s="99"/>
      <c r="BT13" s="100"/>
      <c r="BU13" s="331"/>
      <c r="BV13" s="96"/>
      <c r="BW13" s="97"/>
      <c r="BX13" s="333"/>
      <c r="BY13" s="99"/>
      <c r="BZ13" s="100"/>
      <c r="CA13" s="331"/>
      <c r="CB13" s="96"/>
      <c r="CC13" s="97"/>
      <c r="CD13" s="333"/>
      <c r="CE13" s="99"/>
      <c r="CF13" s="100"/>
      <c r="CG13" s="331"/>
    </row>
    <row r="14" spans="1:85" ht="17.25" x14ac:dyDescent="0.25">
      <c r="A14" s="98">
        <v>7</v>
      </c>
      <c r="B14" s="151" t="s">
        <v>91</v>
      </c>
      <c r="C14" s="283">
        <v>1</v>
      </c>
      <c r="D14" s="152">
        <v>0.51500000000000001</v>
      </c>
      <c r="E14" s="153" t="s">
        <v>154</v>
      </c>
      <c r="H14" s="98">
        <v>7</v>
      </c>
      <c r="I14" s="151" t="s">
        <v>91</v>
      </c>
      <c r="J14" s="283">
        <v>1</v>
      </c>
      <c r="K14" s="152">
        <v>0.51500000000000001</v>
      </c>
      <c r="L14" s="153" t="s">
        <v>154</v>
      </c>
      <c r="M14" s="41"/>
      <c r="N14" s="149"/>
      <c r="O14" s="149"/>
      <c r="P14" s="41"/>
      <c r="Q14" s="149"/>
      <c r="R14" s="149"/>
      <c r="S14" s="41"/>
      <c r="T14" s="149"/>
      <c r="U14" s="149"/>
      <c r="V14" s="41"/>
      <c r="W14" s="149"/>
      <c r="X14" s="431"/>
      <c r="Y14" s="430"/>
      <c r="Z14" s="98" t="s">
        <v>56</v>
      </c>
      <c r="AA14" s="98" t="s">
        <v>61</v>
      </c>
      <c r="AB14" s="99">
        <f>P8</f>
        <v>2.662500000000001E-2</v>
      </c>
      <c r="AC14" s="422"/>
      <c r="AF14" s="126" t="s">
        <v>155</v>
      </c>
      <c r="AG14" s="146" t="str">
        <f>IF(AB21=0," - ",AB21)</f>
        <v>-0.02286 ÷ 0.07611</v>
      </c>
      <c r="AH14" s="146" t="str">
        <f>IF(AB19=""," - ",AB19)</f>
        <v>25.063° ÷ 27.179°</v>
      </c>
      <c r="AI14" s="159" t="str">
        <f>IF(AB18=0," - ",AB18)</f>
        <v>0.468 ÷ 0.513</v>
      </c>
      <c r="AL14" s="96">
        <v>9</v>
      </c>
      <c r="AM14" s="97"/>
      <c r="AN14" s="98"/>
      <c r="AO14" s="99"/>
      <c r="AP14" s="100"/>
      <c r="AQ14" s="101"/>
      <c r="AR14" s="96">
        <v>9</v>
      </c>
      <c r="AS14" s="97"/>
      <c r="AT14" s="98"/>
      <c r="AU14" s="99"/>
      <c r="AV14" s="100"/>
      <c r="AW14" s="101"/>
      <c r="AX14" s="96">
        <v>9</v>
      </c>
      <c r="AY14" s="97"/>
      <c r="AZ14" s="98"/>
      <c r="BA14" s="99"/>
      <c r="BB14" s="100"/>
      <c r="BC14" s="101"/>
      <c r="BD14" s="96">
        <v>9</v>
      </c>
      <c r="BE14" s="97"/>
      <c r="BF14" s="98"/>
      <c r="BG14" s="99"/>
      <c r="BH14" s="100"/>
      <c r="BI14" s="101"/>
      <c r="BJ14" s="96">
        <v>9</v>
      </c>
      <c r="BK14" s="97"/>
      <c r="BL14" s="98"/>
      <c r="BM14" s="99"/>
      <c r="BN14" s="100"/>
      <c r="BO14" s="101"/>
      <c r="BP14" s="96"/>
      <c r="BQ14" s="97"/>
      <c r="BR14" s="333"/>
      <c r="BS14" s="99"/>
      <c r="BT14" s="100"/>
      <c r="BU14" s="331"/>
      <c r="BV14" s="96"/>
      <c r="BW14" s="97"/>
      <c r="BX14" s="333"/>
      <c r="BY14" s="99"/>
      <c r="BZ14" s="100"/>
      <c r="CA14" s="331"/>
      <c r="CB14" s="96"/>
      <c r="CC14" s="97"/>
      <c r="CD14" s="333"/>
      <c r="CE14" s="99"/>
      <c r="CF14" s="100"/>
      <c r="CG14" s="331"/>
    </row>
    <row r="15" spans="1:85" x14ac:dyDescent="0.25">
      <c r="A15" s="98">
        <v>8</v>
      </c>
      <c r="B15" s="151" t="s">
        <v>91</v>
      </c>
      <c r="C15" s="283">
        <v>2</v>
      </c>
      <c r="D15" s="152">
        <v>1.002</v>
      </c>
      <c r="E15" s="153" t="s">
        <v>154</v>
      </c>
      <c r="H15" s="98">
        <v>8</v>
      </c>
      <c r="I15" s="151" t="s">
        <v>91</v>
      </c>
      <c r="J15" s="283">
        <v>2</v>
      </c>
      <c r="K15" s="152">
        <v>1.002</v>
      </c>
      <c r="L15" s="153" t="s">
        <v>154</v>
      </c>
      <c r="M15" s="41"/>
      <c r="N15" s="149"/>
      <c r="O15" s="149"/>
      <c r="P15" s="41"/>
      <c r="Q15" s="149"/>
      <c r="R15" s="149"/>
      <c r="S15" s="41"/>
      <c r="T15" s="149"/>
      <c r="U15" s="149"/>
      <c r="V15" s="41"/>
      <c r="W15" s="149"/>
      <c r="X15" s="431"/>
      <c r="Y15" s="426" t="s">
        <v>72</v>
      </c>
      <c r="Z15" s="422"/>
      <c r="AA15" s="98" t="s">
        <v>62</v>
      </c>
      <c r="AB15" s="152">
        <v>0.95</v>
      </c>
      <c r="AC15" s="426" t="str">
        <f>"n = "&amp;TEXT(I4,0)</f>
        <v>n = 24</v>
      </c>
      <c r="AF15" s="126" t="s">
        <v>157</v>
      </c>
      <c r="AG15" s="146">
        <f>IF(AB22=0," - ",AB22)</f>
        <v>0.85</v>
      </c>
      <c r="AH15" s="146"/>
      <c r="AI15" s="157">
        <f>AG15</f>
        <v>0.85</v>
      </c>
      <c r="AL15" s="96">
        <v>10</v>
      </c>
      <c r="AM15" s="97"/>
      <c r="AN15" s="98"/>
      <c r="AO15" s="99"/>
      <c r="AP15" s="100"/>
      <c r="AQ15" s="101"/>
      <c r="AR15" s="96">
        <v>10</v>
      </c>
      <c r="AS15" s="97"/>
      <c r="AT15" s="98"/>
      <c r="AU15" s="99"/>
      <c r="AV15" s="100"/>
      <c r="AW15" s="101"/>
      <c r="AX15" s="96">
        <v>10</v>
      </c>
      <c r="AY15" s="97"/>
      <c r="AZ15" s="98"/>
      <c r="BA15" s="99"/>
      <c r="BB15" s="100"/>
      <c r="BC15" s="101"/>
      <c r="BD15" s="96">
        <v>10</v>
      </c>
      <c r="BE15" s="97"/>
      <c r="BF15" s="98"/>
      <c r="BG15" s="99"/>
      <c r="BH15" s="100"/>
      <c r="BI15" s="101"/>
      <c r="BJ15" s="96">
        <v>10</v>
      </c>
      <c r="BK15" s="97"/>
      <c r="BL15" s="98"/>
      <c r="BM15" s="99"/>
      <c r="BN15" s="100"/>
      <c r="BO15" s="101"/>
      <c r="BP15" s="96"/>
      <c r="BQ15" s="97"/>
      <c r="BR15" s="333"/>
      <c r="BS15" s="99"/>
      <c r="BT15" s="100"/>
      <c r="BU15" s="331"/>
      <c r="BV15" s="96"/>
      <c r="BW15" s="97"/>
      <c r="BX15" s="333"/>
      <c r="BY15" s="99"/>
      <c r="BZ15" s="100"/>
      <c r="CA15" s="331"/>
      <c r="CB15" s="96"/>
      <c r="CC15" s="97"/>
      <c r="CD15" s="333"/>
      <c r="CE15" s="99"/>
      <c r="CF15" s="100"/>
      <c r="CG15" s="331"/>
    </row>
    <row r="16" spans="1:85" ht="18" x14ac:dyDescent="0.25">
      <c r="A16" s="98">
        <v>9</v>
      </c>
      <c r="B16" s="151" t="s">
        <v>91</v>
      </c>
      <c r="C16" s="283">
        <v>3</v>
      </c>
      <c r="D16" s="152">
        <v>1.49</v>
      </c>
      <c r="E16" s="153" t="s">
        <v>154</v>
      </c>
      <c r="H16" s="98">
        <v>9</v>
      </c>
      <c r="I16" s="151" t="s">
        <v>91</v>
      </c>
      <c r="J16" s="283">
        <v>3</v>
      </c>
      <c r="K16" s="152">
        <v>1.49</v>
      </c>
      <c r="L16" s="153" t="s">
        <v>154</v>
      </c>
      <c r="M16" s="41"/>
      <c r="N16" s="149"/>
      <c r="O16" s="149"/>
      <c r="P16" s="41"/>
      <c r="Q16" s="149"/>
      <c r="R16" s="149"/>
      <c r="S16" s="41"/>
      <c r="T16" s="149"/>
      <c r="U16" s="149"/>
      <c r="V16" s="41"/>
      <c r="W16" s="149"/>
      <c r="X16" s="431"/>
      <c r="Y16" s="427"/>
      <c r="Z16" s="422"/>
      <c r="AA16" s="98" t="s">
        <v>63</v>
      </c>
      <c r="AB16" s="98">
        <f>IF(I4&lt;6," - ",VLOOKUP(COUNTIF(E8:E107,"Nhan") - 2,Bangtra!$A$6:$C$30,3,TRUE))</f>
        <v>1.72</v>
      </c>
      <c r="AC16" s="427"/>
      <c r="AF16" s="126" t="s">
        <v>158</v>
      </c>
      <c r="AG16" s="146">
        <f t="shared" ref="AG16" si="1">IF(AB23=0," - ",AB23)</f>
        <v>1.06</v>
      </c>
      <c r="AH16" s="146"/>
      <c r="AI16" s="157">
        <f>AG16</f>
        <v>1.06</v>
      </c>
      <c r="AL16" s="96">
        <v>11</v>
      </c>
      <c r="AM16" s="97"/>
      <c r="AN16" s="98"/>
      <c r="AO16" s="99"/>
      <c r="AP16" s="100"/>
      <c r="AQ16" s="101"/>
      <c r="AR16" s="96">
        <v>11</v>
      </c>
      <c r="AS16" s="97"/>
      <c r="AT16" s="98"/>
      <c r="AU16" s="99"/>
      <c r="AV16" s="100"/>
      <c r="AW16" s="101"/>
      <c r="AX16" s="96">
        <v>11</v>
      </c>
      <c r="AY16" s="97"/>
      <c r="AZ16" s="98"/>
      <c r="BA16" s="99"/>
      <c r="BB16" s="100"/>
      <c r="BC16" s="101"/>
      <c r="BD16" s="96">
        <v>11</v>
      </c>
      <c r="BE16" s="97"/>
      <c r="BF16" s="98"/>
      <c r="BG16" s="99"/>
      <c r="BH16" s="100"/>
      <c r="BI16" s="101"/>
      <c r="BJ16" s="96">
        <v>11</v>
      </c>
      <c r="BK16" s="97"/>
      <c r="BL16" s="98"/>
      <c r="BM16" s="99"/>
      <c r="BN16" s="100"/>
      <c r="BO16" s="101"/>
      <c r="BP16" s="96"/>
      <c r="BQ16" s="97"/>
      <c r="BR16" s="333"/>
      <c r="BS16" s="99"/>
      <c r="BT16" s="100"/>
      <c r="BU16" s="331"/>
      <c r="BV16" s="96"/>
      <c r="BW16" s="97"/>
      <c r="BX16" s="333"/>
      <c r="BY16" s="99"/>
      <c r="BZ16" s="100"/>
      <c r="CA16" s="331"/>
      <c r="CB16" s="96"/>
      <c r="CC16" s="97"/>
      <c r="CD16" s="333"/>
      <c r="CE16" s="99"/>
      <c r="CF16" s="100"/>
      <c r="CG16" s="331"/>
    </row>
    <row r="17" spans="1:85" ht="18" x14ac:dyDescent="0.25">
      <c r="A17" s="98">
        <v>10</v>
      </c>
      <c r="B17" s="151" t="s">
        <v>93</v>
      </c>
      <c r="C17" s="283">
        <v>1</v>
      </c>
      <c r="D17" s="152">
        <v>0.501</v>
      </c>
      <c r="E17" s="153" t="s">
        <v>154</v>
      </c>
      <c r="H17" s="98">
        <v>10</v>
      </c>
      <c r="I17" s="151" t="s">
        <v>93</v>
      </c>
      <c r="J17" s="283">
        <v>1</v>
      </c>
      <c r="K17" s="152">
        <v>0.501</v>
      </c>
      <c r="L17" s="153" t="s">
        <v>154</v>
      </c>
      <c r="M17" s="41"/>
      <c r="N17" s="149"/>
      <c r="O17" s="149"/>
      <c r="P17" s="41"/>
      <c r="Q17" s="149"/>
      <c r="R17" s="149"/>
      <c r="S17" s="41"/>
      <c r="T17" s="149"/>
      <c r="U17" s="149"/>
      <c r="V17" s="41"/>
      <c r="W17" s="149"/>
      <c r="X17" s="431"/>
      <c r="Y17" s="427"/>
      <c r="Z17" s="422"/>
      <c r="AA17" s="98" t="s">
        <v>64</v>
      </c>
      <c r="AB17" s="99">
        <f>IF(I4&lt;6," - ",AB16*AB7)</f>
        <v>4.6696604689780805E-2</v>
      </c>
      <c r="AC17" s="427"/>
      <c r="AF17" s="126" t="s">
        <v>159</v>
      </c>
      <c r="AG17" s="146">
        <f>IF(AB27=0," - ",AB27)</f>
        <v>1.1454360382710926</v>
      </c>
      <c r="AH17" s="146"/>
      <c r="AI17" s="159">
        <f>AB24</f>
        <v>2.877814009951608E-2</v>
      </c>
      <c r="AL17" s="96">
        <v>12</v>
      </c>
      <c r="AM17" s="97"/>
      <c r="AN17" s="98"/>
      <c r="AO17" s="99"/>
      <c r="AP17" s="100"/>
      <c r="AQ17" s="101"/>
      <c r="AR17" s="96">
        <v>12</v>
      </c>
      <c r="AS17" s="97"/>
      <c r="AT17" s="98"/>
      <c r="AU17" s="99"/>
      <c r="AV17" s="100"/>
      <c r="AW17" s="101"/>
      <c r="AX17" s="96">
        <v>12</v>
      </c>
      <c r="AY17" s="97"/>
      <c r="AZ17" s="98"/>
      <c r="BA17" s="99"/>
      <c r="BB17" s="100"/>
      <c r="BC17" s="101"/>
      <c r="BD17" s="96">
        <v>12</v>
      </c>
      <c r="BE17" s="97"/>
      <c r="BF17" s="98"/>
      <c r="BG17" s="99"/>
      <c r="BH17" s="100"/>
      <c r="BI17" s="101"/>
      <c r="BJ17" s="96">
        <v>12</v>
      </c>
      <c r="BK17" s="97"/>
      <c r="BL17" s="98"/>
      <c r="BM17" s="99"/>
      <c r="BN17" s="100"/>
      <c r="BO17" s="101"/>
      <c r="BP17" s="96"/>
      <c r="BQ17" s="97"/>
      <c r="BR17" s="333"/>
      <c r="BS17" s="99"/>
      <c r="BT17" s="100"/>
      <c r="BU17" s="331"/>
      <c r="BV17" s="96"/>
      <c r="BW17" s="97"/>
      <c r="BX17" s="333"/>
      <c r="BY17" s="99"/>
      <c r="BZ17" s="100"/>
      <c r="CA17" s="331"/>
      <c r="CB17" s="96"/>
      <c r="CC17" s="97"/>
      <c r="CD17" s="333"/>
      <c r="CE17" s="99"/>
      <c r="CF17" s="100"/>
      <c r="CG17" s="331"/>
    </row>
    <row r="18" spans="1:85" ht="18.75" thickBot="1" x14ac:dyDescent="0.3">
      <c r="A18" s="98">
        <v>11</v>
      </c>
      <c r="B18" s="151" t="s">
        <v>93</v>
      </c>
      <c r="C18" s="283">
        <v>2</v>
      </c>
      <c r="D18" s="152">
        <v>0.97799999999999998</v>
      </c>
      <c r="E18" s="153" t="s">
        <v>154</v>
      </c>
      <c r="H18" s="98">
        <v>11</v>
      </c>
      <c r="I18" s="151" t="s">
        <v>93</v>
      </c>
      <c r="J18" s="283">
        <v>2</v>
      </c>
      <c r="K18" s="152">
        <v>0.97799999999999998</v>
      </c>
      <c r="L18" s="153" t="s">
        <v>154</v>
      </c>
      <c r="M18" s="41"/>
      <c r="N18" s="149"/>
      <c r="O18" s="149"/>
      <c r="P18" s="41"/>
      <c r="Q18" s="149"/>
      <c r="R18" s="149"/>
      <c r="S18" s="41"/>
      <c r="T18" s="149"/>
      <c r="U18" s="149"/>
      <c r="V18" s="41"/>
      <c r="W18" s="149"/>
      <c r="X18" s="431"/>
      <c r="Y18" s="427"/>
      <c r="Z18" s="422"/>
      <c r="AA18" s="98" t="s">
        <v>68</v>
      </c>
      <c r="AB18" s="98" t="str">
        <f>IF(I4&lt;6," - ",TEXT(AB12*(1-AB17),"0.000")&amp;" ÷ "&amp;TEXT(AB12*(1+AB17),"0.000"))</f>
        <v>0.468 ÷ 0.513</v>
      </c>
      <c r="AC18" s="427"/>
      <c r="AF18" s="129" t="s">
        <v>156</v>
      </c>
      <c r="AG18" s="160" t="str">
        <f>IF(AB28=0," - ",AB28)</f>
        <v>-0.00387 ÷ 0.05712</v>
      </c>
      <c r="AH18" s="160" t="str">
        <f>AB26</f>
        <v>25.475° ÷ 26.779°</v>
      </c>
      <c r="AI18" s="161" t="str">
        <f>AB25</f>
        <v>0.476 ÷ 0.505</v>
      </c>
      <c r="AL18" s="96">
        <v>13</v>
      </c>
      <c r="AM18" s="97"/>
      <c r="AN18" s="98"/>
      <c r="AO18" s="99"/>
      <c r="AP18" s="100"/>
      <c r="AQ18" s="101"/>
      <c r="AR18" s="96">
        <v>13</v>
      </c>
      <c r="AS18" s="97"/>
      <c r="AT18" s="98"/>
      <c r="AU18" s="99"/>
      <c r="AV18" s="100"/>
      <c r="AW18" s="101"/>
      <c r="AX18" s="96">
        <v>13</v>
      </c>
      <c r="AY18" s="97"/>
      <c r="AZ18" s="98"/>
      <c r="BA18" s="99"/>
      <c r="BB18" s="100"/>
      <c r="BC18" s="101"/>
      <c r="BD18" s="96">
        <v>13</v>
      </c>
      <c r="BE18" s="97"/>
      <c r="BF18" s="98"/>
      <c r="BG18" s="99"/>
      <c r="BH18" s="100"/>
      <c r="BI18" s="101"/>
      <c r="BJ18" s="96">
        <v>13</v>
      </c>
      <c r="BK18" s="97"/>
      <c r="BL18" s="98"/>
      <c r="BM18" s="99"/>
      <c r="BN18" s="100"/>
      <c r="BO18" s="101"/>
      <c r="BP18" s="96"/>
      <c r="BQ18" s="97"/>
      <c r="BR18" s="333"/>
      <c r="BS18" s="99"/>
      <c r="BT18" s="100"/>
      <c r="BU18" s="331"/>
      <c r="BV18" s="96"/>
      <c r="BW18" s="97"/>
      <c r="BX18" s="333"/>
      <c r="BY18" s="99"/>
      <c r="BZ18" s="100"/>
      <c r="CA18" s="331"/>
      <c r="CB18" s="96"/>
      <c r="CC18" s="97"/>
      <c r="CD18" s="333"/>
      <c r="CE18" s="99"/>
      <c r="CF18" s="100"/>
      <c r="CG18" s="331"/>
    </row>
    <row r="19" spans="1:85" ht="18" x14ac:dyDescent="0.25">
      <c r="A19" s="98">
        <v>12</v>
      </c>
      <c r="B19" s="151" t="s">
        <v>93</v>
      </c>
      <c r="C19" s="283">
        <v>3</v>
      </c>
      <c r="D19" s="152">
        <v>1.4550000000000001</v>
      </c>
      <c r="E19" s="153" t="s">
        <v>154</v>
      </c>
      <c r="H19" s="98">
        <v>12</v>
      </c>
      <c r="I19" s="151" t="s">
        <v>93</v>
      </c>
      <c r="J19" s="283">
        <v>3</v>
      </c>
      <c r="K19" s="152">
        <v>1.4550000000000001</v>
      </c>
      <c r="L19" s="153" t="s">
        <v>154</v>
      </c>
      <c r="M19" s="41"/>
      <c r="N19" s="149"/>
      <c r="O19" s="149"/>
      <c r="P19" s="41"/>
      <c r="Q19" s="149"/>
      <c r="R19" s="149"/>
      <c r="S19" s="41"/>
      <c r="T19" s="149"/>
      <c r="U19" s="149"/>
      <c r="V19" s="41"/>
      <c r="W19" s="149"/>
      <c r="X19" s="431"/>
      <c r="Y19" s="427"/>
      <c r="Z19" s="422"/>
      <c r="AA19" s="98" t="s">
        <v>66</v>
      </c>
      <c r="AB19" s="98" t="str">
        <f>IF(I4&lt;6, " - ",TEXT(DEGREES(ATAN(AB12*(1-AB17))),"0.000")&amp;"° ÷ "&amp;TEXT(DEGREES(ATAN(AB12*(1+AB17))),"#0.000")&amp;"°")</f>
        <v>25.063° ÷ 27.179°</v>
      </c>
      <c r="AC19" s="427"/>
      <c r="AL19" s="96">
        <v>14</v>
      </c>
      <c r="AM19" s="97"/>
      <c r="AN19" s="98"/>
      <c r="AO19" s="99"/>
      <c r="AP19" s="100"/>
      <c r="AQ19" s="101"/>
      <c r="AR19" s="96">
        <v>14</v>
      </c>
      <c r="AS19" s="97"/>
      <c r="AT19" s="98"/>
      <c r="AU19" s="99"/>
      <c r="AV19" s="100"/>
      <c r="AW19" s="101"/>
      <c r="AX19" s="96">
        <v>14</v>
      </c>
      <c r="AY19" s="97"/>
      <c r="AZ19" s="98"/>
      <c r="BA19" s="99"/>
      <c r="BB19" s="100"/>
      <c r="BC19" s="101"/>
      <c r="BD19" s="96">
        <v>14</v>
      </c>
      <c r="BE19" s="97"/>
      <c r="BF19" s="98"/>
      <c r="BG19" s="99"/>
      <c r="BH19" s="100"/>
      <c r="BI19" s="101"/>
      <c r="BJ19" s="96">
        <v>14</v>
      </c>
      <c r="BK19" s="97"/>
      <c r="BL19" s="98"/>
      <c r="BM19" s="99"/>
      <c r="BN19" s="100"/>
      <c r="BO19" s="101"/>
      <c r="BP19" s="96"/>
      <c r="BQ19" s="97"/>
      <c r="BR19" s="333"/>
      <c r="BS19" s="99"/>
      <c r="BT19" s="100"/>
      <c r="BU19" s="331"/>
      <c r="BV19" s="96"/>
      <c r="BW19" s="97"/>
      <c r="BX19" s="333"/>
      <c r="BY19" s="99"/>
      <c r="BZ19" s="100"/>
      <c r="CA19" s="331"/>
      <c r="CB19" s="96"/>
      <c r="CC19" s="97"/>
      <c r="CD19" s="333"/>
      <c r="CE19" s="99"/>
      <c r="CF19" s="100"/>
      <c r="CG19" s="331"/>
    </row>
    <row r="20" spans="1:85" ht="18" x14ac:dyDescent="0.25">
      <c r="A20" s="98">
        <v>13</v>
      </c>
      <c r="B20" s="151" t="s">
        <v>95</v>
      </c>
      <c r="C20" s="283">
        <v>1</v>
      </c>
      <c r="D20" s="152">
        <v>0.51500000000000001</v>
      </c>
      <c r="E20" s="153" t="s">
        <v>154</v>
      </c>
      <c r="H20" s="98">
        <v>13</v>
      </c>
      <c r="I20" s="151" t="s">
        <v>95</v>
      </c>
      <c r="J20" s="283">
        <v>1</v>
      </c>
      <c r="K20" s="152">
        <v>0.51500000000000001</v>
      </c>
      <c r="L20" s="153" t="s">
        <v>154</v>
      </c>
      <c r="M20" s="41"/>
      <c r="N20" s="149"/>
      <c r="O20" s="149"/>
      <c r="P20" s="41"/>
      <c r="Q20" s="149"/>
      <c r="R20" s="149"/>
      <c r="S20" s="41"/>
      <c r="T20" s="149"/>
      <c r="U20" s="149"/>
      <c r="V20" s="41"/>
      <c r="W20" s="149"/>
      <c r="X20" s="431"/>
      <c r="Y20" s="427"/>
      <c r="Z20" s="422"/>
      <c r="AA20" s="98" t="s">
        <v>65</v>
      </c>
      <c r="AB20" s="99">
        <f>IF(I4&lt;6," - ",AB16*AB10)</f>
        <v>1.8586320621002632</v>
      </c>
      <c r="AC20" s="427"/>
      <c r="AL20" s="96">
        <v>15</v>
      </c>
      <c r="AM20" s="97"/>
      <c r="AN20" s="98"/>
      <c r="AO20" s="99"/>
      <c r="AP20" s="100"/>
      <c r="AQ20" s="101"/>
      <c r="AR20" s="96">
        <v>15</v>
      </c>
      <c r="AS20" s="97"/>
      <c r="AT20" s="98"/>
      <c r="AU20" s="99"/>
      <c r="AV20" s="100"/>
      <c r="AW20" s="101"/>
      <c r="AX20" s="96">
        <v>15</v>
      </c>
      <c r="AY20" s="97"/>
      <c r="AZ20" s="98"/>
      <c r="BA20" s="99"/>
      <c r="BB20" s="100"/>
      <c r="BC20" s="101"/>
      <c r="BD20" s="96">
        <v>15</v>
      </c>
      <c r="BE20" s="97"/>
      <c r="BF20" s="98"/>
      <c r="BG20" s="99"/>
      <c r="BH20" s="100"/>
      <c r="BI20" s="101"/>
      <c r="BJ20" s="96">
        <v>15</v>
      </c>
      <c r="BK20" s="97"/>
      <c r="BL20" s="98"/>
      <c r="BM20" s="99"/>
      <c r="BN20" s="100"/>
      <c r="BO20" s="101"/>
      <c r="BP20" s="96"/>
      <c r="BQ20" s="97"/>
      <c r="BR20" s="333"/>
      <c r="BS20" s="99"/>
      <c r="BT20" s="100"/>
      <c r="BU20" s="331"/>
      <c r="BV20" s="96"/>
      <c r="BW20" s="97"/>
      <c r="BX20" s="333"/>
      <c r="BY20" s="99"/>
      <c r="BZ20" s="100"/>
      <c r="CA20" s="331"/>
      <c r="CB20" s="96"/>
      <c r="CC20" s="97"/>
      <c r="CD20" s="333"/>
      <c r="CE20" s="99"/>
      <c r="CF20" s="100"/>
      <c r="CG20" s="331"/>
    </row>
    <row r="21" spans="1:85" ht="18" x14ac:dyDescent="0.25">
      <c r="A21" s="98">
        <v>14</v>
      </c>
      <c r="B21" s="151" t="s">
        <v>95</v>
      </c>
      <c r="C21" s="283">
        <v>2</v>
      </c>
      <c r="D21" s="152">
        <v>1.002</v>
      </c>
      <c r="E21" s="153" t="s">
        <v>154</v>
      </c>
      <c r="H21" s="98">
        <v>14</v>
      </c>
      <c r="I21" s="151" t="s">
        <v>95</v>
      </c>
      <c r="J21" s="283">
        <v>2</v>
      </c>
      <c r="K21" s="152">
        <v>1.002</v>
      </c>
      <c r="L21" s="153" t="s">
        <v>154</v>
      </c>
      <c r="M21" s="41"/>
      <c r="N21" s="149"/>
      <c r="O21" s="149"/>
      <c r="P21" s="41"/>
      <c r="Q21" s="149"/>
      <c r="R21" s="149"/>
      <c r="S21" s="41"/>
      <c r="T21" s="149"/>
      <c r="U21" s="149"/>
      <c r="V21" s="41"/>
      <c r="W21" s="149"/>
      <c r="X21" s="431"/>
      <c r="Y21" s="428"/>
      <c r="Z21" s="422"/>
      <c r="AA21" s="98" t="s">
        <v>67</v>
      </c>
      <c r="AB21" s="98" t="str">
        <f>IF(I4&lt;6," - ",TEXT(AB14*(1-AB20),"0.00000")&amp;" ÷ "&amp;TEXT(AB14*(1+AB20),"0.00000"))</f>
        <v>-0.02286 ÷ 0.07611</v>
      </c>
      <c r="AC21" s="428"/>
      <c r="AL21" s="96">
        <v>16</v>
      </c>
      <c r="AM21" s="97"/>
      <c r="AN21" s="98"/>
      <c r="AO21" s="99"/>
      <c r="AP21" s="100"/>
      <c r="AQ21" s="101"/>
      <c r="AR21" s="96">
        <v>16</v>
      </c>
      <c r="AS21" s="97"/>
      <c r="AT21" s="98"/>
      <c r="AU21" s="99"/>
      <c r="AV21" s="100"/>
      <c r="AW21" s="101"/>
      <c r="AX21" s="96">
        <v>16</v>
      </c>
      <c r="AY21" s="97"/>
      <c r="AZ21" s="98"/>
      <c r="BA21" s="99"/>
      <c r="BB21" s="100"/>
      <c r="BC21" s="101"/>
      <c r="BD21" s="96">
        <v>16</v>
      </c>
      <c r="BE21" s="97"/>
      <c r="BF21" s="98"/>
      <c r="BG21" s="99"/>
      <c r="BH21" s="100"/>
      <c r="BI21" s="101"/>
      <c r="BJ21" s="96">
        <v>16</v>
      </c>
      <c r="BK21" s="97"/>
      <c r="BL21" s="98"/>
      <c r="BM21" s="99"/>
      <c r="BN21" s="100"/>
      <c r="BO21" s="101"/>
      <c r="BP21" s="96"/>
      <c r="BQ21" s="97"/>
      <c r="BR21" s="333"/>
      <c r="BS21" s="99"/>
      <c r="BT21" s="100"/>
      <c r="BU21" s="331"/>
      <c r="BV21" s="96"/>
      <c r="BW21" s="97"/>
      <c r="BX21" s="333"/>
      <c r="BY21" s="99"/>
      <c r="BZ21" s="100"/>
      <c r="CA21" s="331"/>
      <c r="CB21" s="96"/>
      <c r="CC21" s="97"/>
      <c r="CD21" s="333"/>
      <c r="CE21" s="99"/>
      <c r="CF21" s="100"/>
      <c r="CG21" s="331"/>
    </row>
    <row r="22" spans="1:85" x14ac:dyDescent="0.25">
      <c r="A22" s="98">
        <v>15</v>
      </c>
      <c r="B22" s="151" t="s">
        <v>95</v>
      </c>
      <c r="C22" s="283">
        <v>3</v>
      </c>
      <c r="D22" s="152">
        <v>1.49</v>
      </c>
      <c r="E22" s="153" t="s">
        <v>154</v>
      </c>
      <c r="H22" s="98">
        <v>15</v>
      </c>
      <c r="I22" s="151" t="s">
        <v>95</v>
      </c>
      <c r="J22" s="283">
        <v>3</v>
      </c>
      <c r="K22" s="152">
        <v>1.49</v>
      </c>
      <c r="L22" s="153" t="s">
        <v>154</v>
      </c>
      <c r="M22" s="41"/>
      <c r="N22" s="149"/>
      <c r="O22" s="149"/>
      <c r="P22" s="41"/>
      <c r="Q22" s="149"/>
      <c r="R22" s="149"/>
      <c r="S22" s="41"/>
      <c r="T22" s="149"/>
      <c r="U22" s="149"/>
      <c r="V22" s="41"/>
      <c r="W22" s="149"/>
      <c r="X22" s="431"/>
      <c r="Y22" s="426" t="s">
        <v>73</v>
      </c>
      <c r="Z22" s="422"/>
      <c r="AA22" s="98" t="s">
        <v>62</v>
      </c>
      <c r="AB22" s="152">
        <v>0.85</v>
      </c>
      <c r="AC22" s="422"/>
      <c r="AL22" s="96">
        <v>17</v>
      </c>
      <c r="AM22" s="97"/>
      <c r="AN22" s="98"/>
      <c r="AO22" s="99"/>
      <c r="AP22" s="100"/>
      <c r="AQ22" s="101"/>
      <c r="AR22" s="96">
        <v>17</v>
      </c>
      <c r="AS22" s="97"/>
      <c r="AT22" s="98"/>
      <c r="AU22" s="99"/>
      <c r="AV22" s="100"/>
      <c r="AW22" s="101"/>
      <c r="AX22" s="96">
        <v>17</v>
      </c>
      <c r="AY22" s="97"/>
      <c r="AZ22" s="98"/>
      <c r="BA22" s="99"/>
      <c r="BB22" s="100"/>
      <c r="BC22" s="101"/>
      <c r="BD22" s="96">
        <v>17</v>
      </c>
      <c r="BE22" s="97"/>
      <c r="BF22" s="98"/>
      <c r="BG22" s="99"/>
      <c r="BH22" s="100"/>
      <c r="BI22" s="101"/>
      <c r="BJ22" s="96">
        <v>17</v>
      </c>
      <c r="BK22" s="97"/>
      <c r="BL22" s="98"/>
      <c r="BM22" s="99"/>
      <c r="BN22" s="100"/>
      <c r="BO22" s="101"/>
      <c r="BP22" s="96"/>
      <c r="BQ22" s="97"/>
      <c r="BR22" s="333"/>
      <c r="BS22" s="99"/>
      <c r="BT22" s="100"/>
      <c r="BU22" s="331"/>
      <c r="BV22" s="96"/>
      <c r="BW22" s="97"/>
      <c r="BX22" s="333"/>
      <c r="BY22" s="99"/>
      <c r="BZ22" s="100"/>
      <c r="CA22" s="331"/>
      <c r="CB22" s="96"/>
      <c r="CC22" s="97"/>
      <c r="CD22" s="333"/>
      <c r="CE22" s="99"/>
      <c r="CF22" s="100"/>
      <c r="CG22" s="331"/>
    </row>
    <row r="23" spans="1:85" ht="18" x14ac:dyDescent="0.25">
      <c r="A23" s="98">
        <v>16</v>
      </c>
      <c r="B23" s="151" t="s">
        <v>253</v>
      </c>
      <c r="C23" s="283">
        <v>1</v>
      </c>
      <c r="D23" s="152">
        <v>0.53</v>
      </c>
      <c r="E23" s="153" t="s">
        <v>154</v>
      </c>
      <c r="H23" s="98">
        <v>16</v>
      </c>
      <c r="I23" s="151" t="s">
        <v>253</v>
      </c>
      <c r="J23" s="283">
        <v>1</v>
      </c>
      <c r="K23" s="152">
        <v>0.53</v>
      </c>
      <c r="L23" s="153" t="s">
        <v>154</v>
      </c>
      <c r="M23" s="41"/>
      <c r="N23" s="149"/>
      <c r="O23" s="149"/>
      <c r="P23" s="41"/>
      <c r="Q23" s="149"/>
      <c r="R23" s="149"/>
      <c r="S23" s="41"/>
      <c r="T23" s="149"/>
      <c r="U23" s="149"/>
      <c r="V23" s="41"/>
      <c r="W23" s="149"/>
      <c r="X23" s="431"/>
      <c r="Y23" s="427"/>
      <c r="Z23" s="422"/>
      <c r="AA23" s="98" t="s">
        <v>63</v>
      </c>
      <c r="AB23" s="98">
        <f>IF(I4&lt;6," - ",VLOOKUP(COUNTIF(E8:E107,"Nhan")-2,Bangtra!$A$6:$C$30,2,TRUE))</f>
        <v>1.06</v>
      </c>
      <c r="AC23" s="422"/>
      <c r="AL23" s="96">
        <v>18</v>
      </c>
      <c r="AM23" s="97"/>
      <c r="AN23" s="98"/>
      <c r="AO23" s="99"/>
      <c r="AP23" s="100"/>
      <c r="AQ23" s="101"/>
      <c r="AR23" s="96">
        <v>18</v>
      </c>
      <c r="AS23" s="97"/>
      <c r="AT23" s="98"/>
      <c r="AU23" s="99"/>
      <c r="AV23" s="100"/>
      <c r="AW23" s="101"/>
      <c r="AX23" s="96">
        <v>18</v>
      </c>
      <c r="AY23" s="97"/>
      <c r="AZ23" s="98"/>
      <c r="BA23" s="99"/>
      <c r="BB23" s="100"/>
      <c r="BC23" s="101"/>
      <c r="BD23" s="96">
        <v>18</v>
      </c>
      <c r="BE23" s="97"/>
      <c r="BF23" s="98"/>
      <c r="BG23" s="99"/>
      <c r="BH23" s="100"/>
      <c r="BI23" s="101"/>
      <c r="BJ23" s="96">
        <v>18</v>
      </c>
      <c r="BK23" s="97"/>
      <c r="BL23" s="98"/>
      <c r="BM23" s="99"/>
      <c r="BN23" s="100"/>
      <c r="BO23" s="101"/>
      <c r="BP23" s="96"/>
      <c r="BQ23" s="97"/>
      <c r="BR23" s="333"/>
      <c r="BS23" s="99"/>
      <c r="BT23" s="100"/>
      <c r="BU23" s="331"/>
      <c r="BV23" s="96"/>
      <c r="BW23" s="97"/>
      <c r="BX23" s="333"/>
      <c r="BY23" s="99"/>
      <c r="BZ23" s="100"/>
      <c r="CA23" s="331"/>
      <c r="CB23" s="96"/>
      <c r="CC23" s="97"/>
      <c r="CD23" s="333"/>
      <c r="CE23" s="99"/>
      <c r="CF23" s="100"/>
      <c r="CG23" s="331"/>
    </row>
    <row r="24" spans="1:85" ht="18" x14ac:dyDescent="0.25">
      <c r="A24" s="98">
        <v>17</v>
      </c>
      <c r="B24" s="151" t="s">
        <v>253</v>
      </c>
      <c r="C24" s="283">
        <v>2</v>
      </c>
      <c r="D24" s="152">
        <v>1.034</v>
      </c>
      <c r="E24" s="153" t="s">
        <v>154</v>
      </c>
      <c r="H24" s="98">
        <v>17</v>
      </c>
      <c r="I24" s="151" t="s">
        <v>253</v>
      </c>
      <c r="J24" s="283">
        <v>2</v>
      </c>
      <c r="K24" s="152">
        <v>1.034</v>
      </c>
      <c r="L24" s="153" t="s">
        <v>154</v>
      </c>
      <c r="M24" s="41"/>
      <c r="N24" s="149"/>
      <c r="O24" s="149"/>
      <c r="P24" s="41"/>
      <c r="Q24" s="149"/>
      <c r="R24" s="149"/>
      <c r="S24" s="41"/>
      <c r="T24" s="149"/>
      <c r="U24" s="149"/>
      <c r="V24" s="41"/>
      <c r="W24" s="149"/>
      <c r="X24" s="431"/>
      <c r="Y24" s="427"/>
      <c r="Z24" s="422"/>
      <c r="AA24" s="98" t="s">
        <v>64</v>
      </c>
      <c r="AB24" s="99">
        <f>IF(I4&lt;6," - ",AB23*AB7)</f>
        <v>2.877814009951608E-2</v>
      </c>
      <c r="AC24" s="422"/>
      <c r="AL24" s="96">
        <v>19</v>
      </c>
      <c r="AM24" s="97"/>
      <c r="AN24" s="98"/>
      <c r="AO24" s="99"/>
      <c r="AP24" s="100"/>
      <c r="AQ24" s="101"/>
      <c r="AR24" s="96">
        <v>19</v>
      </c>
      <c r="AS24" s="97"/>
      <c r="AT24" s="98"/>
      <c r="AU24" s="99"/>
      <c r="AV24" s="100"/>
      <c r="AW24" s="101"/>
      <c r="AX24" s="96">
        <v>19</v>
      </c>
      <c r="AY24" s="97"/>
      <c r="AZ24" s="98"/>
      <c r="BA24" s="99"/>
      <c r="BB24" s="100"/>
      <c r="BC24" s="101"/>
      <c r="BD24" s="96">
        <v>19</v>
      </c>
      <c r="BE24" s="97"/>
      <c r="BF24" s="98"/>
      <c r="BG24" s="99"/>
      <c r="BH24" s="100"/>
      <c r="BI24" s="101"/>
      <c r="BJ24" s="96">
        <v>19</v>
      </c>
      <c r="BK24" s="97"/>
      <c r="BL24" s="98"/>
      <c r="BM24" s="99"/>
      <c r="BN24" s="100"/>
      <c r="BO24" s="101"/>
      <c r="BP24" s="96"/>
      <c r="BQ24" s="97"/>
      <c r="BR24" s="333"/>
      <c r="BS24" s="99"/>
      <c r="BT24" s="100"/>
      <c r="BU24" s="331"/>
      <c r="BV24" s="96"/>
      <c r="BW24" s="97"/>
      <c r="BX24" s="333"/>
      <c r="BY24" s="99"/>
      <c r="BZ24" s="100"/>
      <c r="CA24" s="331"/>
      <c r="CB24" s="96"/>
      <c r="CC24" s="97"/>
      <c r="CD24" s="333"/>
      <c r="CE24" s="99"/>
      <c r="CF24" s="100"/>
      <c r="CG24" s="331"/>
    </row>
    <row r="25" spans="1:85" ht="18" x14ac:dyDescent="0.25">
      <c r="A25" s="98">
        <v>18</v>
      </c>
      <c r="B25" s="151" t="s">
        <v>253</v>
      </c>
      <c r="C25" s="283">
        <v>3</v>
      </c>
      <c r="D25" s="152">
        <v>1.538</v>
      </c>
      <c r="E25" s="153" t="s">
        <v>154</v>
      </c>
      <c r="H25" s="98">
        <v>18</v>
      </c>
      <c r="I25" s="151" t="s">
        <v>253</v>
      </c>
      <c r="J25" s="283">
        <v>3</v>
      </c>
      <c r="K25" s="152">
        <v>1.538</v>
      </c>
      <c r="L25" s="153" t="s">
        <v>154</v>
      </c>
      <c r="M25" s="41"/>
      <c r="N25" s="149"/>
      <c r="O25" s="149"/>
      <c r="P25" s="41"/>
      <c r="Q25" s="149"/>
      <c r="R25" s="149"/>
      <c r="S25" s="41"/>
      <c r="T25" s="149"/>
      <c r="U25" s="149"/>
      <c r="V25" s="41"/>
      <c r="W25" s="149"/>
      <c r="X25" s="431"/>
      <c r="Y25" s="427"/>
      <c r="Z25" s="422"/>
      <c r="AA25" s="98" t="s">
        <v>69</v>
      </c>
      <c r="AB25" s="98" t="str">
        <f>IF(I4&lt;6," - ",TEXT(AB12*(1-AB24),"0.000")&amp;" ÷ "&amp;TEXT(AB12*(1+AB24),"0.000"))</f>
        <v>0.476 ÷ 0.505</v>
      </c>
      <c r="AC25" s="422"/>
      <c r="AL25" s="96">
        <v>20</v>
      </c>
      <c r="AM25" s="97"/>
      <c r="AN25" s="98"/>
      <c r="AO25" s="99"/>
      <c r="AP25" s="100"/>
      <c r="AQ25" s="101"/>
      <c r="AR25" s="96">
        <v>20</v>
      </c>
      <c r="AS25" s="97"/>
      <c r="AT25" s="98"/>
      <c r="AU25" s="99"/>
      <c r="AV25" s="100"/>
      <c r="AW25" s="101"/>
      <c r="AX25" s="96">
        <v>20</v>
      </c>
      <c r="AY25" s="97"/>
      <c r="AZ25" s="98"/>
      <c r="BA25" s="99"/>
      <c r="BB25" s="100"/>
      <c r="BC25" s="101"/>
      <c r="BD25" s="96">
        <v>20</v>
      </c>
      <c r="BE25" s="97"/>
      <c r="BF25" s="98"/>
      <c r="BG25" s="99"/>
      <c r="BH25" s="100"/>
      <c r="BI25" s="101"/>
      <c r="BJ25" s="96">
        <v>20</v>
      </c>
      <c r="BK25" s="97"/>
      <c r="BL25" s="98"/>
      <c r="BM25" s="99"/>
      <c r="BN25" s="100"/>
      <c r="BO25" s="101"/>
      <c r="BP25" s="96"/>
      <c r="BQ25" s="97"/>
      <c r="BR25" s="333"/>
      <c r="BS25" s="99"/>
      <c r="BT25" s="100"/>
      <c r="BU25" s="331"/>
      <c r="BV25" s="96"/>
      <c r="BW25" s="97"/>
      <c r="BX25" s="333"/>
      <c r="BY25" s="99"/>
      <c r="BZ25" s="100"/>
      <c r="CA25" s="331"/>
      <c r="CB25" s="96"/>
      <c r="CC25" s="97"/>
      <c r="CD25" s="333"/>
      <c r="CE25" s="99"/>
      <c r="CF25" s="100"/>
      <c r="CG25" s="331"/>
    </row>
    <row r="26" spans="1:85" ht="18" x14ac:dyDescent="0.25">
      <c r="A26" s="98">
        <v>19</v>
      </c>
      <c r="B26" s="151" t="s">
        <v>254</v>
      </c>
      <c r="C26" s="283">
        <v>1</v>
      </c>
      <c r="D26" s="152">
        <v>0.55000000000000004</v>
      </c>
      <c r="E26" s="153" t="s">
        <v>154</v>
      </c>
      <c r="H26" s="98">
        <v>19</v>
      </c>
      <c r="I26" s="151" t="s">
        <v>254</v>
      </c>
      <c r="J26" s="283">
        <v>1</v>
      </c>
      <c r="K26" s="152">
        <v>0.55000000000000004</v>
      </c>
      <c r="L26" s="153" t="s">
        <v>154</v>
      </c>
      <c r="M26" s="41"/>
      <c r="N26" s="149"/>
      <c r="O26" s="149"/>
      <c r="P26" s="41"/>
      <c r="Q26" s="149"/>
      <c r="R26" s="149"/>
      <c r="S26" s="41"/>
      <c r="T26" s="149"/>
      <c r="U26" s="149"/>
      <c r="V26" s="41"/>
      <c r="W26" s="149"/>
      <c r="X26" s="431"/>
      <c r="Y26" s="427"/>
      <c r="Z26" s="422"/>
      <c r="AA26" s="98" t="s">
        <v>70</v>
      </c>
      <c r="AB26" s="98" t="str">
        <f>IF(I4&lt;6," - ",TEXT(DEGREES(ATAN(AB12*(1-AB24))),"#0.000")&amp;"° ÷ "&amp;TEXT(DEGREES(ATAN(AB12*(1+AB24))),"#0.000")&amp;"°")</f>
        <v>25.475° ÷ 26.779°</v>
      </c>
      <c r="AC26" s="422"/>
      <c r="AL26" s="96">
        <v>21</v>
      </c>
      <c r="AM26" s="97"/>
      <c r="AN26" s="98"/>
      <c r="AO26" s="99"/>
      <c r="AP26" s="100"/>
      <c r="AQ26" s="101"/>
      <c r="AR26" s="96">
        <v>21</v>
      </c>
      <c r="AS26" s="97"/>
      <c r="AT26" s="98"/>
      <c r="AU26" s="99"/>
      <c r="AV26" s="100"/>
      <c r="AW26" s="101"/>
      <c r="AX26" s="96">
        <v>21</v>
      </c>
      <c r="AY26" s="97"/>
      <c r="AZ26" s="98"/>
      <c r="BA26" s="99"/>
      <c r="BB26" s="100"/>
      <c r="BC26" s="101"/>
      <c r="BD26" s="96">
        <v>21</v>
      </c>
      <c r="BE26" s="97"/>
      <c r="BF26" s="98"/>
      <c r="BG26" s="99"/>
      <c r="BH26" s="100"/>
      <c r="BI26" s="101"/>
      <c r="BJ26" s="96">
        <v>21</v>
      </c>
      <c r="BK26" s="97"/>
      <c r="BL26" s="98"/>
      <c r="BM26" s="99"/>
      <c r="BN26" s="100"/>
      <c r="BO26" s="101"/>
      <c r="BP26" s="96"/>
      <c r="BQ26" s="97"/>
      <c r="BR26" s="333"/>
      <c r="BS26" s="99"/>
      <c r="BT26" s="100"/>
      <c r="BU26" s="331"/>
      <c r="BV26" s="96"/>
      <c r="BW26" s="97"/>
      <c r="BX26" s="333"/>
      <c r="BY26" s="99"/>
      <c r="BZ26" s="100"/>
      <c r="CA26" s="331"/>
      <c r="CB26" s="96"/>
      <c r="CC26" s="97"/>
      <c r="CD26" s="333"/>
      <c r="CE26" s="99"/>
      <c r="CF26" s="100"/>
      <c r="CG26" s="331"/>
    </row>
    <row r="27" spans="1:85" ht="18" x14ac:dyDescent="0.25">
      <c r="A27" s="98">
        <v>20</v>
      </c>
      <c r="B27" s="151" t="s">
        <v>254</v>
      </c>
      <c r="C27" s="283">
        <v>2</v>
      </c>
      <c r="D27" s="152">
        <v>1.07</v>
      </c>
      <c r="E27" s="153" t="s">
        <v>154</v>
      </c>
      <c r="H27" s="98">
        <v>20</v>
      </c>
      <c r="I27" s="151" t="s">
        <v>254</v>
      </c>
      <c r="J27" s="283">
        <v>2</v>
      </c>
      <c r="K27" s="152">
        <v>1.07</v>
      </c>
      <c r="L27" s="153" t="s">
        <v>154</v>
      </c>
      <c r="M27" s="41"/>
      <c r="N27" s="149"/>
      <c r="O27" s="149"/>
      <c r="P27" s="41"/>
      <c r="Q27" s="149"/>
      <c r="R27" s="149"/>
      <c r="S27" s="41"/>
      <c r="T27" s="149"/>
      <c r="U27" s="149"/>
      <c r="V27" s="41"/>
      <c r="W27" s="149"/>
      <c r="X27" s="431"/>
      <c r="Y27" s="427"/>
      <c r="Z27" s="422"/>
      <c r="AA27" s="98" t="s">
        <v>65</v>
      </c>
      <c r="AB27" s="99">
        <f>IF(I4&lt;6, " - ",AB23*AB10)</f>
        <v>1.1454360382710926</v>
      </c>
      <c r="AC27" s="422"/>
      <c r="AL27" s="96">
        <v>22</v>
      </c>
      <c r="AM27" s="97"/>
      <c r="AN27" s="98"/>
      <c r="AO27" s="99"/>
      <c r="AP27" s="100"/>
      <c r="AQ27" s="101"/>
      <c r="AR27" s="96">
        <v>22</v>
      </c>
      <c r="AS27" s="97"/>
      <c r="AT27" s="98"/>
      <c r="AU27" s="99"/>
      <c r="AV27" s="100"/>
      <c r="AW27" s="101"/>
      <c r="AX27" s="96">
        <v>22</v>
      </c>
      <c r="AY27" s="97"/>
      <c r="AZ27" s="98"/>
      <c r="BA27" s="99"/>
      <c r="BB27" s="100"/>
      <c r="BC27" s="101"/>
      <c r="BD27" s="96">
        <v>22</v>
      </c>
      <c r="BE27" s="97"/>
      <c r="BF27" s="98"/>
      <c r="BG27" s="99"/>
      <c r="BH27" s="100"/>
      <c r="BI27" s="101"/>
      <c r="BJ27" s="96">
        <v>22</v>
      </c>
      <c r="BK27" s="97"/>
      <c r="BL27" s="98"/>
      <c r="BM27" s="99"/>
      <c r="BN27" s="100"/>
      <c r="BO27" s="101"/>
      <c r="BP27" s="96"/>
      <c r="BQ27" s="97"/>
      <c r="BR27" s="333"/>
      <c r="BS27" s="99"/>
      <c r="BT27" s="100"/>
      <c r="BU27" s="331"/>
      <c r="BV27" s="96"/>
      <c r="BW27" s="97"/>
      <c r="BX27" s="333"/>
      <c r="BY27" s="99"/>
      <c r="BZ27" s="100"/>
      <c r="CA27" s="331"/>
      <c r="CB27" s="96"/>
      <c r="CC27" s="97"/>
      <c r="CD27" s="333"/>
      <c r="CE27" s="99"/>
      <c r="CF27" s="100"/>
      <c r="CG27" s="331"/>
    </row>
    <row r="28" spans="1:85" ht="18" x14ac:dyDescent="0.25">
      <c r="A28" s="98">
        <v>21</v>
      </c>
      <c r="B28" s="151" t="s">
        <v>254</v>
      </c>
      <c r="C28" s="283">
        <v>3</v>
      </c>
      <c r="D28" s="152">
        <v>1.591</v>
      </c>
      <c r="E28" s="153" t="s">
        <v>154</v>
      </c>
      <c r="H28" s="98">
        <v>21</v>
      </c>
      <c r="I28" s="151" t="s">
        <v>254</v>
      </c>
      <c r="J28" s="283">
        <v>3</v>
      </c>
      <c r="K28" s="152">
        <v>1.591</v>
      </c>
      <c r="L28" s="153" t="s">
        <v>154</v>
      </c>
      <c r="M28" s="41"/>
      <c r="N28" s="149"/>
      <c r="O28" s="149"/>
      <c r="P28" s="41"/>
      <c r="Q28" s="149"/>
      <c r="R28" s="149"/>
      <c r="S28" s="41"/>
      <c r="T28" s="149"/>
      <c r="U28" s="149"/>
      <c r="V28" s="41"/>
      <c r="W28" s="149"/>
      <c r="X28" s="431"/>
      <c r="Y28" s="428"/>
      <c r="Z28" s="422"/>
      <c r="AA28" s="98" t="s">
        <v>71</v>
      </c>
      <c r="AB28" s="98" t="str">
        <f>IF(I4&lt;6," - ",TEXT(AB14*(1-AB27),"0.00000")&amp;" ÷ "&amp;TEXT(AB14*(1+AB27),"0.00000"))</f>
        <v>-0.00387 ÷ 0.05712</v>
      </c>
      <c r="AC28" s="422"/>
      <c r="AL28" s="96">
        <v>23</v>
      </c>
      <c r="AM28" s="97"/>
      <c r="AN28" s="98"/>
      <c r="AO28" s="99"/>
      <c r="AP28" s="100"/>
      <c r="AQ28" s="101"/>
      <c r="AR28" s="96">
        <v>23</v>
      </c>
      <c r="AS28" s="97"/>
      <c r="AT28" s="98"/>
      <c r="AU28" s="99"/>
      <c r="AV28" s="100"/>
      <c r="AW28" s="101"/>
      <c r="AX28" s="96">
        <v>23</v>
      </c>
      <c r="AY28" s="97"/>
      <c r="AZ28" s="98"/>
      <c r="BA28" s="99"/>
      <c r="BB28" s="100"/>
      <c r="BC28" s="101"/>
      <c r="BD28" s="96">
        <v>23</v>
      </c>
      <c r="BE28" s="97"/>
      <c r="BF28" s="98"/>
      <c r="BG28" s="99"/>
      <c r="BH28" s="100"/>
      <c r="BI28" s="101"/>
      <c r="BJ28" s="96">
        <v>23</v>
      </c>
      <c r="BK28" s="97"/>
      <c r="BL28" s="98"/>
      <c r="BM28" s="99"/>
      <c r="BN28" s="100"/>
      <c r="BO28" s="101"/>
      <c r="BP28" s="96"/>
      <c r="BQ28" s="97"/>
      <c r="BR28" s="333"/>
      <c r="BS28" s="99"/>
      <c r="BT28" s="100"/>
      <c r="BU28" s="331"/>
      <c r="BV28" s="96"/>
      <c r="BW28" s="97"/>
      <c r="BX28" s="333"/>
      <c r="BY28" s="99"/>
      <c r="BZ28" s="100"/>
      <c r="CA28" s="331"/>
      <c r="CB28" s="96"/>
      <c r="CC28" s="97"/>
      <c r="CD28" s="333"/>
      <c r="CE28" s="99"/>
      <c r="CF28" s="100"/>
      <c r="CG28" s="331"/>
    </row>
    <row r="29" spans="1:85" x14ac:dyDescent="0.25">
      <c r="A29" s="98">
        <v>22</v>
      </c>
      <c r="B29" s="151" t="s">
        <v>255</v>
      </c>
      <c r="C29" s="283">
        <v>1</v>
      </c>
      <c r="D29" s="152">
        <v>0.55300000000000005</v>
      </c>
      <c r="E29" s="153" t="s">
        <v>154</v>
      </c>
      <c r="H29" s="98">
        <v>22</v>
      </c>
      <c r="I29" s="151" t="s">
        <v>255</v>
      </c>
      <c r="J29" s="283">
        <v>1</v>
      </c>
      <c r="K29" s="152">
        <v>0.55300000000000005</v>
      </c>
      <c r="L29" s="153" t="s">
        <v>154</v>
      </c>
      <c r="M29" s="41"/>
      <c r="N29" s="149"/>
      <c r="O29" s="149"/>
      <c r="P29" s="41"/>
      <c r="Q29" s="149"/>
      <c r="R29" s="149"/>
      <c r="S29" s="41"/>
      <c r="T29" s="149"/>
      <c r="U29" s="149"/>
      <c r="V29" s="41"/>
      <c r="W29" s="149"/>
      <c r="X29" s="149"/>
      <c r="Y29" s="41"/>
      <c r="Z29" s="41"/>
      <c r="AL29" s="96">
        <v>24</v>
      </c>
      <c r="AM29" s="97"/>
      <c r="AN29" s="98"/>
      <c r="AO29" s="99"/>
      <c r="AP29" s="100"/>
      <c r="AQ29" s="101"/>
      <c r="AR29" s="96">
        <v>24</v>
      </c>
      <c r="AS29" s="97"/>
      <c r="AT29" s="98"/>
      <c r="AU29" s="99"/>
      <c r="AV29" s="100"/>
      <c r="AW29" s="101"/>
      <c r="AX29" s="96">
        <v>24</v>
      </c>
      <c r="AY29" s="97"/>
      <c r="AZ29" s="98"/>
      <c r="BA29" s="99"/>
      <c r="BB29" s="100"/>
      <c r="BC29" s="101"/>
      <c r="BD29" s="96">
        <v>24</v>
      </c>
      <c r="BE29" s="97"/>
      <c r="BF29" s="98"/>
      <c r="BG29" s="99"/>
      <c r="BH29" s="100"/>
      <c r="BI29" s="101"/>
      <c r="BJ29" s="96">
        <v>24</v>
      </c>
      <c r="BK29" s="97"/>
      <c r="BL29" s="98"/>
      <c r="BM29" s="99"/>
      <c r="BN29" s="100"/>
      <c r="BO29" s="101"/>
      <c r="BP29" s="96"/>
      <c r="BQ29" s="97"/>
      <c r="BR29" s="333"/>
      <c r="BS29" s="99"/>
      <c r="BT29" s="100"/>
      <c r="BU29" s="331"/>
      <c r="BV29" s="96"/>
      <c r="BW29" s="97"/>
      <c r="BX29" s="333"/>
      <c r="BY29" s="99"/>
      <c r="BZ29" s="100"/>
      <c r="CA29" s="331"/>
      <c r="CB29" s="96"/>
      <c r="CC29" s="97"/>
      <c r="CD29" s="333"/>
      <c r="CE29" s="99"/>
      <c r="CF29" s="100"/>
      <c r="CG29" s="331"/>
    </row>
    <row r="30" spans="1:85" x14ac:dyDescent="0.25">
      <c r="A30" s="98">
        <v>23</v>
      </c>
      <c r="B30" s="151" t="s">
        <v>255</v>
      </c>
      <c r="C30" s="283">
        <v>2</v>
      </c>
      <c r="D30" s="152">
        <v>1.079</v>
      </c>
      <c r="E30" s="153" t="s">
        <v>154</v>
      </c>
      <c r="H30" s="98">
        <v>23</v>
      </c>
      <c r="I30" s="151" t="s">
        <v>255</v>
      </c>
      <c r="J30" s="283">
        <v>2</v>
      </c>
      <c r="K30" s="152">
        <v>1.079</v>
      </c>
      <c r="L30" s="153" t="s">
        <v>154</v>
      </c>
      <c r="M30" s="41"/>
      <c r="N30" s="149"/>
      <c r="O30" s="149"/>
      <c r="P30" s="41"/>
      <c r="Q30" s="149"/>
      <c r="R30" s="149"/>
      <c r="S30" s="41"/>
      <c r="T30" s="149"/>
      <c r="U30" s="149"/>
      <c r="V30" s="41"/>
      <c r="W30" s="149"/>
      <c r="X30" s="149"/>
      <c r="Y30" s="41"/>
      <c r="Z30" s="41"/>
      <c r="AL30" s="96">
        <v>25</v>
      </c>
      <c r="AM30" s="97"/>
      <c r="AN30" s="98"/>
      <c r="AO30" s="99"/>
      <c r="AP30" s="100"/>
      <c r="AQ30" s="101"/>
      <c r="AR30" s="96">
        <v>25</v>
      </c>
      <c r="AS30" s="97"/>
      <c r="AT30" s="98"/>
      <c r="AU30" s="99"/>
      <c r="AV30" s="100"/>
      <c r="AW30" s="101"/>
      <c r="AX30" s="96">
        <v>25</v>
      </c>
      <c r="AY30" s="97"/>
      <c r="AZ30" s="98"/>
      <c r="BA30" s="99"/>
      <c r="BB30" s="100"/>
      <c r="BC30" s="101"/>
      <c r="BD30" s="96">
        <v>25</v>
      </c>
      <c r="BE30" s="97"/>
      <c r="BF30" s="98"/>
      <c r="BG30" s="99"/>
      <c r="BH30" s="100"/>
      <c r="BI30" s="101"/>
      <c r="BJ30" s="96">
        <v>25</v>
      </c>
      <c r="BK30" s="97"/>
      <c r="BL30" s="98"/>
      <c r="BM30" s="99"/>
      <c r="BN30" s="100"/>
      <c r="BO30" s="101"/>
      <c r="BP30" s="96"/>
      <c r="BQ30" s="97"/>
      <c r="BR30" s="333"/>
      <c r="BS30" s="99"/>
      <c r="BT30" s="100"/>
      <c r="BU30" s="331"/>
      <c r="BV30" s="96"/>
      <c r="BW30" s="97"/>
      <c r="BX30" s="333"/>
      <c r="BY30" s="99"/>
      <c r="BZ30" s="100"/>
      <c r="CA30" s="331"/>
      <c r="CB30" s="96"/>
      <c r="CC30" s="97"/>
      <c r="CD30" s="333"/>
      <c r="CE30" s="99"/>
      <c r="CF30" s="100"/>
      <c r="CG30" s="331"/>
    </row>
    <row r="31" spans="1:85" x14ac:dyDescent="0.25">
      <c r="A31" s="98">
        <v>24</v>
      </c>
      <c r="B31" s="151" t="s">
        <v>255</v>
      </c>
      <c r="C31" s="283">
        <v>3</v>
      </c>
      <c r="D31" s="152">
        <v>1.605</v>
      </c>
      <c r="E31" s="153" t="s">
        <v>154</v>
      </c>
      <c r="H31" s="98">
        <v>24</v>
      </c>
      <c r="I31" s="151" t="s">
        <v>255</v>
      </c>
      <c r="J31" s="283">
        <v>3</v>
      </c>
      <c r="K31" s="152">
        <v>1.605</v>
      </c>
      <c r="L31" s="153" t="s">
        <v>154</v>
      </c>
      <c r="M31" s="41"/>
      <c r="N31" s="149"/>
      <c r="O31" s="149"/>
      <c r="P31" s="41"/>
      <c r="Q31" s="149"/>
      <c r="R31" s="149"/>
      <c r="S31" s="41"/>
      <c r="T31" s="149"/>
      <c r="U31" s="149"/>
      <c r="V31" s="41"/>
      <c r="W31" s="149"/>
      <c r="X31" s="149"/>
      <c r="Y31" s="41"/>
      <c r="Z31" s="41"/>
      <c r="AL31" s="96">
        <v>26</v>
      </c>
      <c r="AM31" s="97"/>
      <c r="AN31" s="98"/>
      <c r="AO31" s="99"/>
      <c r="AP31" s="100"/>
      <c r="AQ31" s="101"/>
      <c r="AR31" s="96">
        <v>26</v>
      </c>
      <c r="AS31" s="97"/>
      <c r="AT31" s="98"/>
      <c r="AU31" s="99"/>
      <c r="AV31" s="100"/>
      <c r="AW31" s="101"/>
      <c r="AX31" s="96">
        <v>26</v>
      </c>
      <c r="AY31" s="97"/>
      <c r="AZ31" s="98"/>
      <c r="BA31" s="99"/>
      <c r="BB31" s="100"/>
      <c r="BC31" s="101"/>
      <c r="BD31" s="96">
        <v>26</v>
      </c>
      <c r="BE31" s="97"/>
      <c r="BF31" s="98"/>
      <c r="BG31" s="99"/>
      <c r="BH31" s="100"/>
      <c r="BI31" s="101"/>
      <c r="BJ31" s="96">
        <v>26</v>
      </c>
      <c r="BK31" s="97"/>
      <c r="BL31" s="98"/>
      <c r="BM31" s="99"/>
      <c r="BN31" s="100"/>
      <c r="BO31" s="101"/>
      <c r="BP31" s="96"/>
      <c r="BQ31" s="97"/>
      <c r="BR31" s="333"/>
      <c r="BS31" s="99"/>
      <c r="BT31" s="100"/>
      <c r="BU31" s="331"/>
      <c r="BV31" s="96"/>
      <c r="BW31" s="97"/>
      <c r="BX31" s="333"/>
      <c r="BY31" s="99"/>
      <c r="BZ31" s="100"/>
      <c r="CA31" s="331"/>
      <c r="CB31" s="96"/>
      <c r="CC31" s="97"/>
      <c r="CD31" s="333"/>
      <c r="CE31" s="99"/>
      <c r="CF31" s="100"/>
      <c r="CG31" s="331"/>
    </row>
    <row r="32" spans="1:85" x14ac:dyDescent="0.25">
      <c r="A32" s="98">
        <v>25</v>
      </c>
      <c r="B32" s="151"/>
      <c r="C32" s="283"/>
      <c r="D32" s="152"/>
      <c r="E32" s="148"/>
      <c r="H32" s="98">
        <v>25</v>
      </c>
      <c r="I32" s="151"/>
      <c r="J32" s="283"/>
      <c r="K32" s="152"/>
      <c r="L32" s="148"/>
      <c r="M32" s="41"/>
      <c r="N32" s="149"/>
      <c r="O32" s="149"/>
      <c r="P32" s="41"/>
      <c r="Q32" s="149"/>
      <c r="R32" s="149"/>
      <c r="S32" s="41"/>
      <c r="T32" s="149"/>
      <c r="U32" s="149"/>
      <c r="V32" s="41"/>
      <c r="W32" s="149"/>
      <c r="X32" s="149"/>
      <c r="Y32" s="41"/>
      <c r="Z32" s="41"/>
      <c r="AL32" s="96">
        <v>27</v>
      </c>
      <c r="AM32" s="97"/>
      <c r="AN32" s="98"/>
      <c r="AO32" s="99"/>
      <c r="AP32" s="100"/>
      <c r="AQ32" s="101"/>
      <c r="AR32" s="96">
        <v>27</v>
      </c>
      <c r="AS32" s="97"/>
      <c r="AT32" s="98"/>
      <c r="AU32" s="99"/>
      <c r="AV32" s="100"/>
      <c r="AW32" s="101"/>
      <c r="AX32" s="96">
        <v>27</v>
      </c>
      <c r="AY32" s="97"/>
      <c r="AZ32" s="98"/>
      <c r="BA32" s="99"/>
      <c r="BB32" s="100"/>
      <c r="BC32" s="101"/>
      <c r="BD32" s="96">
        <v>27</v>
      </c>
      <c r="BE32" s="97"/>
      <c r="BF32" s="98"/>
      <c r="BG32" s="99"/>
      <c r="BH32" s="100"/>
      <c r="BI32" s="101"/>
      <c r="BJ32" s="96">
        <v>27</v>
      </c>
      <c r="BK32" s="97"/>
      <c r="BL32" s="98"/>
      <c r="BM32" s="99"/>
      <c r="BN32" s="100"/>
      <c r="BO32" s="101"/>
      <c r="BP32" s="96"/>
      <c r="BQ32" s="97"/>
      <c r="BR32" s="333"/>
      <c r="BS32" s="99"/>
      <c r="BT32" s="100"/>
      <c r="BU32" s="331"/>
      <c r="BV32" s="96"/>
      <c r="BW32" s="97"/>
      <c r="BX32" s="333"/>
      <c r="BY32" s="99"/>
      <c r="BZ32" s="100"/>
      <c r="CA32" s="331"/>
      <c r="CB32" s="96"/>
      <c r="CC32" s="97"/>
      <c r="CD32" s="333"/>
      <c r="CE32" s="99"/>
      <c r="CF32" s="100"/>
      <c r="CG32" s="331"/>
    </row>
    <row r="33" spans="1:85" x14ac:dyDescent="0.25">
      <c r="A33" s="98">
        <v>26</v>
      </c>
      <c r="B33" s="151"/>
      <c r="C33" s="283"/>
      <c r="D33" s="152"/>
      <c r="E33" s="148"/>
      <c r="H33" s="98">
        <v>26</v>
      </c>
      <c r="I33" s="151"/>
      <c r="J33" s="283"/>
      <c r="K33" s="152"/>
      <c r="L33" s="148"/>
      <c r="M33" s="41"/>
      <c r="N33" s="149"/>
      <c r="O33" s="149"/>
      <c r="P33" s="41"/>
      <c r="Q33" s="149"/>
      <c r="R33" s="149"/>
      <c r="S33" s="41"/>
      <c r="T33" s="149"/>
      <c r="U33" s="149"/>
      <c r="V33" s="41"/>
      <c r="W33" s="149"/>
      <c r="X33" s="149"/>
      <c r="Y33" s="41"/>
      <c r="Z33" s="41"/>
      <c r="AL33" s="96">
        <v>28</v>
      </c>
      <c r="AM33" s="97"/>
      <c r="AN33" s="98"/>
      <c r="AO33" s="99"/>
      <c r="AP33" s="100"/>
      <c r="AQ33" s="101"/>
      <c r="AR33" s="96">
        <v>28</v>
      </c>
      <c r="AS33" s="97"/>
      <c r="AT33" s="98"/>
      <c r="AU33" s="99"/>
      <c r="AV33" s="100"/>
      <c r="AW33" s="101"/>
      <c r="AX33" s="96">
        <v>28</v>
      </c>
      <c r="AY33" s="97"/>
      <c r="AZ33" s="98"/>
      <c r="BA33" s="99"/>
      <c r="BB33" s="100"/>
      <c r="BC33" s="101"/>
      <c r="BD33" s="96">
        <v>28</v>
      </c>
      <c r="BE33" s="97"/>
      <c r="BF33" s="98"/>
      <c r="BG33" s="99"/>
      <c r="BH33" s="100"/>
      <c r="BI33" s="101"/>
      <c r="BJ33" s="96">
        <v>28</v>
      </c>
      <c r="BK33" s="97"/>
      <c r="BL33" s="98"/>
      <c r="BM33" s="99"/>
      <c r="BN33" s="100"/>
      <c r="BO33" s="101"/>
      <c r="BP33" s="96"/>
      <c r="BQ33" s="97"/>
      <c r="BR33" s="333"/>
      <c r="BS33" s="99"/>
      <c r="BT33" s="100"/>
      <c r="BU33" s="331"/>
      <c r="BV33" s="96"/>
      <c r="BW33" s="97"/>
      <c r="BX33" s="333"/>
      <c r="BY33" s="99"/>
      <c r="BZ33" s="100"/>
      <c r="CA33" s="331"/>
      <c r="CB33" s="96"/>
      <c r="CC33" s="97"/>
      <c r="CD33" s="333"/>
      <c r="CE33" s="99"/>
      <c r="CF33" s="100"/>
      <c r="CG33" s="331"/>
    </row>
    <row r="34" spans="1:85" x14ac:dyDescent="0.25">
      <c r="A34" s="98">
        <v>27</v>
      </c>
      <c r="B34" s="151"/>
      <c r="C34" s="283"/>
      <c r="D34" s="152"/>
      <c r="E34" s="148"/>
      <c r="H34" s="98">
        <v>27</v>
      </c>
      <c r="I34" s="151"/>
      <c r="J34" s="283"/>
      <c r="K34" s="152"/>
      <c r="L34" s="148"/>
      <c r="M34" s="41"/>
      <c r="N34" s="149"/>
      <c r="O34" s="149"/>
      <c r="P34" s="41"/>
      <c r="Q34" s="149"/>
      <c r="R34" s="149"/>
      <c r="S34" s="41"/>
      <c r="T34" s="149"/>
      <c r="U34" s="149"/>
      <c r="V34" s="41"/>
      <c r="W34" s="149"/>
      <c r="X34" s="149"/>
      <c r="Y34" s="41"/>
      <c r="Z34" s="41"/>
      <c r="AL34" s="96">
        <v>29</v>
      </c>
      <c r="AM34" s="97"/>
      <c r="AN34" s="98"/>
      <c r="AO34" s="99"/>
      <c r="AP34" s="100"/>
      <c r="AQ34" s="101"/>
      <c r="AR34" s="96">
        <v>29</v>
      </c>
      <c r="AS34" s="97"/>
      <c r="AT34" s="98"/>
      <c r="AU34" s="99"/>
      <c r="AV34" s="100"/>
      <c r="AW34" s="101"/>
      <c r="AX34" s="96">
        <v>29</v>
      </c>
      <c r="AY34" s="97"/>
      <c r="AZ34" s="98"/>
      <c r="BA34" s="99"/>
      <c r="BB34" s="100"/>
      <c r="BC34" s="101"/>
      <c r="BD34" s="96">
        <v>29</v>
      </c>
      <c r="BE34" s="97"/>
      <c r="BF34" s="98"/>
      <c r="BG34" s="99"/>
      <c r="BH34" s="100"/>
      <c r="BI34" s="101"/>
      <c r="BJ34" s="96">
        <v>29</v>
      </c>
      <c r="BK34" s="97"/>
      <c r="BL34" s="98"/>
      <c r="BM34" s="99"/>
      <c r="BN34" s="100"/>
      <c r="BO34" s="101"/>
      <c r="BP34" s="96"/>
      <c r="BQ34" s="97"/>
      <c r="BR34" s="333"/>
      <c r="BS34" s="99"/>
      <c r="BT34" s="100"/>
      <c r="BU34" s="331"/>
      <c r="BV34" s="96"/>
      <c r="BW34" s="97"/>
      <c r="BX34" s="333"/>
      <c r="BY34" s="99"/>
      <c r="BZ34" s="100"/>
      <c r="CA34" s="331"/>
      <c r="CB34" s="96"/>
      <c r="CC34" s="97"/>
      <c r="CD34" s="333"/>
      <c r="CE34" s="99"/>
      <c r="CF34" s="100"/>
      <c r="CG34" s="331"/>
    </row>
    <row r="35" spans="1:85" x14ac:dyDescent="0.25">
      <c r="A35" s="98">
        <v>28</v>
      </c>
      <c r="B35" s="151"/>
      <c r="C35" s="283"/>
      <c r="D35" s="152"/>
      <c r="E35" s="148"/>
      <c r="H35" s="98">
        <v>28</v>
      </c>
      <c r="I35" s="151"/>
      <c r="J35" s="283"/>
      <c r="K35" s="152"/>
      <c r="L35" s="148"/>
      <c r="M35" s="41"/>
      <c r="N35" s="149"/>
      <c r="O35" s="149"/>
      <c r="P35" s="41"/>
      <c r="Q35" s="149"/>
      <c r="R35" s="149"/>
      <c r="S35" s="41"/>
      <c r="T35" s="149"/>
      <c r="U35" s="149"/>
      <c r="V35" s="41"/>
      <c r="W35" s="149"/>
      <c r="X35" s="149"/>
      <c r="Y35" s="41"/>
      <c r="Z35" s="41"/>
      <c r="AL35" s="96">
        <v>30</v>
      </c>
      <c r="AM35" s="97"/>
      <c r="AN35" s="98"/>
      <c r="AO35" s="99"/>
      <c r="AP35" s="100"/>
      <c r="AQ35" s="101"/>
      <c r="AR35" s="96">
        <v>30</v>
      </c>
      <c r="AS35" s="97"/>
      <c r="AT35" s="98"/>
      <c r="AU35" s="99"/>
      <c r="AV35" s="100"/>
      <c r="AW35" s="101"/>
      <c r="AX35" s="96">
        <v>30</v>
      </c>
      <c r="AY35" s="97"/>
      <c r="AZ35" s="98"/>
      <c r="BA35" s="99"/>
      <c r="BB35" s="100"/>
      <c r="BC35" s="101"/>
      <c r="BD35" s="96">
        <v>30</v>
      </c>
      <c r="BE35" s="97"/>
      <c r="BF35" s="98"/>
      <c r="BG35" s="99"/>
      <c r="BH35" s="100"/>
      <c r="BI35" s="101"/>
      <c r="BJ35" s="96">
        <v>30</v>
      </c>
      <c r="BK35" s="97"/>
      <c r="BL35" s="98"/>
      <c r="BM35" s="99"/>
      <c r="BN35" s="100"/>
      <c r="BO35" s="101"/>
      <c r="BP35" s="96"/>
      <c r="BQ35" s="97"/>
      <c r="BR35" s="333"/>
      <c r="BS35" s="99"/>
      <c r="BT35" s="100"/>
      <c r="BU35" s="331"/>
      <c r="BV35" s="96"/>
      <c r="BW35" s="97"/>
      <c r="BX35" s="333"/>
      <c r="BY35" s="99"/>
      <c r="BZ35" s="100"/>
      <c r="CA35" s="331"/>
      <c r="CB35" s="96"/>
      <c r="CC35" s="97"/>
      <c r="CD35" s="333"/>
      <c r="CE35" s="99"/>
      <c r="CF35" s="100"/>
      <c r="CG35" s="331"/>
    </row>
    <row r="36" spans="1:85" ht="15.75" thickBot="1" x14ac:dyDescent="0.3">
      <c r="A36" s="98">
        <v>29</v>
      </c>
      <c r="B36" s="151"/>
      <c r="C36" s="283"/>
      <c r="D36" s="152"/>
      <c r="E36" s="148"/>
      <c r="H36" s="98">
        <v>29</v>
      </c>
      <c r="I36" s="151"/>
      <c r="J36" s="283"/>
      <c r="K36" s="152"/>
      <c r="L36" s="148"/>
      <c r="M36" s="41"/>
      <c r="N36" s="149"/>
      <c r="O36" s="149"/>
      <c r="P36" s="41"/>
      <c r="Q36" s="149"/>
      <c r="R36" s="149"/>
      <c r="S36" s="41"/>
      <c r="T36" s="149"/>
      <c r="U36" s="149"/>
      <c r="V36" s="41"/>
      <c r="W36" s="149"/>
      <c r="X36" s="149"/>
      <c r="Y36" s="41"/>
      <c r="Z36" s="41"/>
      <c r="AL36" s="102" t="s">
        <v>28</v>
      </c>
      <c r="AM36" s="162"/>
      <c r="AN36" s="104">
        <v>4.1379999999999999</v>
      </c>
      <c r="AO36" s="105"/>
      <c r="AP36" s="106">
        <v>4.6355000000000077E-3</v>
      </c>
      <c r="AQ36" s="107"/>
      <c r="AR36" s="102" t="s">
        <v>28</v>
      </c>
      <c r="AS36" s="162"/>
      <c r="AT36" s="104">
        <v>8.0609999999999999</v>
      </c>
      <c r="AU36" s="105"/>
      <c r="AV36" s="106">
        <v>1.7893875000000017E-2</v>
      </c>
      <c r="AW36" s="107"/>
      <c r="AX36" s="102" t="s">
        <v>28</v>
      </c>
      <c r="AY36" s="162"/>
      <c r="AZ36" s="104">
        <v>11.987</v>
      </c>
      <c r="BA36" s="105"/>
      <c r="BB36" s="106">
        <v>3.9907874999999975E-2</v>
      </c>
      <c r="BC36" s="107"/>
      <c r="BD36" s="102" t="s">
        <v>28</v>
      </c>
      <c r="BE36" s="162"/>
      <c r="BF36" s="104">
        <v>0.746</v>
      </c>
      <c r="BG36" s="105"/>
      <c r="BH36" s="106">
        <v>6.0800000000000109E-5</v>
      </c>
      <c r="BI36" s="107"/>
      <c r="BJ36" s="102" t="s">
        <v>28</v>
      </c>
      <c r="BK36" s="162"/>
      <c r="BL36" s="104">
        <v>0.8600000000000001</v>
      </c>
      <c r="BM36" s="105"/>
      <c r="BN36" s="106">
        <v>7.9999999999999641E-5</v>
      </c>
      <c r="BO36" s="107"/>
      <c r="BP36" s="102"/>
      <c r="BQ36" s="162"/>
      <c r="BR36" s="104"/>
      <c r="BS36" s="105"/>
      <c r="BT36" s="106"/>
      <c r="BU36" s="107"/>
      <c r="BV36" s="102"/>
      <c r="BW36" s="162"/>
      <c r="BX36" s="104"/>
      <c r="BY36" s="105"/>
      <c r="BZ36" s="106"/>
      <c r="CA36" s="107"/>
      <c r="CB36" s="102"/>
      <c r="CC36" s="162"/>
      <c r="CD36" s="104"/>
      <c r="CE36" s="105"/>
      <c r="CF36" s="106"/>
      <c r="CG36" s="107"/>
    </row>
    <row r="37" spans="1:85" x14ac:dyDescent="0.25">
      <c r="A37" s="98">
        <v>30</v>
      </c>
      <c r="B37" s="151"/>
      <c r="C37" s="283"/>
      <c r="D37" s="152"/>
      <c r="E37" s="148"/>
      <c r="H37" s="98">
        <v>30</v>
      </c>
      <c r="I37" s="151"/>
      <c r="J37" s="283"/>
      <c r="K37" s="152"/>
      <c r="L37" s="148"/>
      <c r="M37" s="41"/>
      <c r="N37" s="41"/>
      <c r="O37" s="163"/>
      <c r="P37" s="164"/>
      <c r="Q37" s="41"/>
      <c r="R37" s="163"/>
      <c r="S37" s="164"/>
      <c r="T37" s="41"/>
      <c r="U37" s="163"/>
      <c r="V37" s="164"/>
      <c r="W37" s="41"/>
      <c r="X37" s="163"/>
      <c r="Y37" s="164"/>
      <c r="Z37" s="41"/>
      <c r="AL37" s="410" t="s">
        <v>30</v>
      </c>
      <c r="AM37" s="110" t="s">
        <v>24</v>
      </c>
      <c r="AN37" s="110">
        <v>8</v>
      </c>
      <c r="AO37" s="110" t="s">
        <v>75</v>
      </c>
      <c r="AP37" s="110">
        <v>2.27</v>
      </c>
      <c r="AQ37" s="419" t="s">
        <v>169</v>
      </c>
      <c r="AR37" s="410" t="s">
        <v>30</v>
      </c>
      <c r="AS37" s="110" t="s">
        <v>24</v>
      </c>
      <c r="AT37" s="110">
        <v>8</v>
      </c>
      <c r="AU37" s="110" t="s">
        <v>75</v>
      </c>
      <c r="AV37" s="110">
        <v>2.27</v>
      </c>
      <c r="AW37" s="419" t="s">
        <v>169</v>
      </c>
      <c r="AX37" s="410" t="s">
        <v>30</v>
      </c>
      <c r="AY37" s="110" t="s">
        <v>24</v>
      </c>
      <c r="AZ37" s="110">
        <v>8</v>
      </c>
      <c r="BA37" s="110" t="s">
        <v>75</v>
      </c>
      <c r="BB37" s="110">
        <v>2.27</v>
      </c>
      <c r="BC37" s="419" t="s">
        <v>169</v>
      </c>
      <c r="BD37" s="410" t="s">
        <v>30</v>
      </c>
      <c r="BE37" s="110" t="s">
        <v>24</v>
      </c>
      <c r="BF37" s="110">
        <v>5</v>
      </c>
      <c r="BG37" s="110" t="s">
        <v>75</v>
      </c>
      <c r="BH37" s="110"/>
      <c r="BI37" s="419" t="s">
        <v>169</v>
      </c>
      <c r="BJ37" s="410" t="s">
        <v>30</v>
      </c>
      <c r="BK37" s="110" t="s">
        <v>24</v>
      </c>
      <c r="BL37" s="110">
        <v>5</v>
      </c>
      <c r="BM37" s="110" t="s">
        <v>75</v>
      </c>
      <c r="BN37" s="110"/>
      <c r="BO37" s="419" t="s">
        <v>169</v>
      </c>
      <c r="BP37" s="410"/>
      <c r="BQ37" s="110"/>
      <c r="BR37" s="110"/>
      <c r="BS37" s="110"/>
      <c r="BT37" s="110"/>
      <c r="BU37" s="419"/>
      <c r="BV37" s="410"/>
      <c r="BW37" s="110"/>
      <c r="BX37" s="110"/>
      <c r="BY37" s="110"/>
      <c r="BZ37" s="110"/>
      <c r="CA37" s="419"/>
      <c r="CB37" s="410"/>
      <c r="CC37" s="110"/>
      <c r="CD37" s="110"/>
      <c r="CE37" s="110"/>
      <c r="CF37" s="110"/>
      <c r="CG37" s="419"/>
    </row>
    <row r="38" spans="1:85" x14ac:dyDescent="0.25">
      <c r="A38" s="98">
        <v>31</v>
      </c>
      <c r="B38" s="151"/>
      <c r="C38" s="283"/>
      <c r="D38" s="152"/>
      <c r="E38" s="148"/>
      <c r="H38" s="98">
        <v>31</v>
      </c>
      <c r="I38" s="151"/>
      <c r="J38" s="283"/>
      <c r="K38" s="152"/>
      <c r="L38" s="148"/>
      <c r="M38" s="165"/>
      <c r="N38" s="165"/>
      <c r="O38" s="165"/>
      <c r="P38" s="165"/>
      <c r="Q38" s="429"/>
      <c r="R38" s="429"/>
      <c r="S38" s="429"/>
      <c r="T38" s="429"/>
      <c r="U38" s="429"/>
      <c r="V38" s="429"/>
      <c r="W38" s="429"/>
      <c r="X38" s="429"/>
      <c r="Y38" s="429"/>
      <c r="Z38" s="41"/>
      <c r="AL38" s="411"/>
      <c r="AM38" s="166" t="s">
        <v>208</v>
      </c>
      <c r="AN38" s="114">
        <v>0.51724999999999999</v>
      </c>
      <c r="AO38" s="98" t="s">
        <v>209</v>
      </c>
      <c r="AP38" s="114">
        <v>2.4071508054129075E-2</v>
      </c>
      <c r="AQ38" s="420"/>
      <c r="AR38" s="411"/>
      <c r="AS38" s="166" t="s">
        <v>208</v>
      </c>
      <c r="AT38" s="114">
        <v>1.007625</v>
      </c>
      <c r="AU38" s="98" t="s">
        <v>209</v>
      </c>
      <c r="AV38" s="114">
        <v>4.7294126220916714E-2</v>
      </c>
      <c r="AW38" s="420"/>
      <c r="AX38" s="411"/>
      <c r="AY38" s="166" t="s">
        <v>208</v>
      </c>
      <c r="AZ38" s="114">
        <v>1.498375</v>
      </c>
      <c r="BA38" s="98" t="s">
        <v>209</v>
      </c>
      <c r="BB38" s="114">
        <v>7.0629203414734873E-2</v>
      </c>
      <c r="BC38" s="420"/>
      <c r="BD38" s="411"/>
      <c r="BE38" s="166" t="s">
        <v>208</v>
      </c>
      <c r="BF38" s="114">
        <v>0.1492</v>
      </c>
      <c r="BG38" s="98" t="s">
        <v>209</v>
      </c>
      <c r="BH38" s="114"/>
      <c r="BI38" s="420"/>
      <c r="BJ38" s="411"/>
      <c r="BK38" s="166" t="s">
        <v>208</v>
      </c>
      <c r="BL38" s="114">
        <v>0.17200000000000001</v>
      </c>
      <c r="BM38" s="98" t="s">
        <v>209</v>
      </c>
      <c r="BN38" s="114"/>
      <c r="BO38" s="420"/>
      <c r="BP38" s="411"/>
      <c r="BQ38" s="330"/>
      <c r="BR38" s="332"/>
      <c r="BS38" s="333"/>
      <c r="BT38" s="332"/>
      <c r="BU38" s="420"/>
      <c r="BV38" s="411"/>
      <c r="BW38" s="330"/>
      <c r="BX38" s="332"/>
      <c r="BY38" s="333"/>
      <c r="BZ38" s="332"/>
      <c r="CA38" s="420"/>
      <c r="CB38" s="411"/>
      <c r="CC38" s="330"/>
      <c r="CD38" s="332"/>
      <c r="CE38" s="333"/>
      <c r="CF38" s="332"/>
      <c r="CG38" s="420"/>
    </row>
    <row r="39" spans="1:85" x14ac:dyDescent="0.25">
      <c r="A39" s="98">
        <v>32</v>
      </c>
      <c r="B39" s="151"/>
      <c r="C39" s="283"/>
      <c r="D39" s="152"/>
      <c r="E39" s="148"/>
      <c r="H39" s="98">
        <v>32</v>
      </c>
      <c r="I39" s="151"/>
      <c r="J39" s="283"/>
      <c r="K39" s="152"/>
      <c r="L39" s="148"/>
      <c r="M39" s="41"/>
      <c r="N39" s="41"/>
      <c r="O39" s="41"/>
      <c r="P39" s="164"/>
      <c r="Q39" s="167"/>
      <c r="R39" s="167"/>
      <c r="S39" s="167"/>
      <c r="T39" s="167"/>
      <c r="U39" s="167"/>
      <c r="V39" s="167"/>
      <c r="W39" s="167"/>
      <c r="X39" s="167"/>
      <c r="Y39" s="167"/>
      <c r="Z39" s="41"/>
      <c r="AL39" s="411"/>
      <c r="AM39" s="98" t="s">
        <v>40</v>
      </c>
      <c r="AN39" s="114">
        <v>2.5733524549005852E-2</v>
      </c>
      <c r="AO39" s="98" t="s">
        <v>210</v>
      </c>
      <c r="AP39" s="114">
        <v>5.4642323282873002E-2</v>
      </c>
      <c r="AQ39" s="420"/>
      <c r="AR39" s="411"/>
      <c r="AS39" s="98" t="s">
        <v>40</v>
      </c>
      <c r="AT39" s="114">
        <v>5.0559547635860624E-2</v>
      </c>
      <c r="AU39" s="98" t="s">
        <v>210</v>
      </c>
      <c r="AV39" s="114">
        <v>0.10735766652148095</v>
      </c>
      <c r="AW39" s="420"/>
      <c r="AX39" s="411"/>
      <c r="AY39" s="98" t="s">
        <v>40</v>
      </c>
      <c r="AZ39" s="114">
        <v>7.5505794479629157E-2</v>
      </c>
      <c r="BA39" s="98" t="s">
        <v>210</v>
      </c>
      <c r="BB39" s="114">
        <v>0.16032829175144817</v>
      </c>
      <c r="BC39" s="420"/>
      <c r="BD39" s="411"/>
      <c r="BE39" s="98" t="s">
        <v>40</v>
      </c>
      <c r="BF39" s="114">
        <v>3.8987177379235889E-3</v>
      </c>
      <c r="BG39" s="98" t="s">
        <v>210</v>
      </c>
      <c r="BH39" s="114"/>
      <c r="BI39" s="420"/>
      <c r="BJ39" s="411"/>
      <c r="BK39" s="98" t="s">
        <v>40</v>
      </c>
      <c r="BL39" s="114">
        <v>4.4721359549995694E-3</v>
      </c>
      <c r="BM39" s="98" t="s">
        <v>210</v>
      </c>
      <c r="BN39" s="114"/>
      <c r="BO39" s="420"/>
      <c r="BP39" s="411"/>
      <c r="BQ39" s="333"/>
      <c r="BR39" s="332"/>
      <c r="BS39" s="333"/>
      <c r="BT39" s="332"/>
      <c r="BU39" s="420"/>
      <c r="BV39" s="411"/>
      <c r="BW39" s="333"/>
      <c r="BX39" s="332"/>
      <c r="BY39" s="333"/>
      <c r="BZ39" s="332"/>
      <c r="CA39" s="420"/>
      <c r="CB39" s="411"/>
      <c r="CC39" s="333"/>
      <c r="CD39" s="332"/>
      <c r="CE39" s="333"/>
      <c r="CF39" s="332"/>
      <c r="CG39" s="420"/>
    </row>
    <row r="40" spans="1:85" x14ac:dyDescent="0.25">
      <c r="A40" s="98">
        <v>33</v>
      </c>
      <c r="B40" s="151"/>
      <c r="C40" s="283"/>
      <c r="D40" s="152"/>
      <c r="E40" s="148"/>
      <c r="H40" s="98">
        <v>33</v>
      </c>
      <c r="I40" s="151"/>
      <c r="J40" s="283"/>
      <c r="K40" s="152"/>
      <c r="L40" s="148"/>
      <c r="M40" s="168"/>
      <c r="N40" s="164"/>
      <c r="O40" s="132"/>
      <c r="P40" s="164"/>
      <c r="Q40" s="167"/>
      <c r="R40" s="167"/>
      <c r="S40" s="167"/>
      <c r="T40" s="167"/>
      <c r="U40" s="167"/>
      <c r="V40" s="167"/>
      <c r="W40" s="167"/>
      <c r="X40" s="167"/>
      <c r="Y40" s="167"/>
      <c r="Z40" s="41"/>
      <c r="AL40" s="411"/>
      <c r="AM40" s="98" t="s">
        <v>25</v>
      </c>
      <c r="AN40" s="114">
        <v>4.9750651617217694E-2</v>
      </c>
      <c r="AO40" s="98" t="s">
        <v>55</v>
      </c>
      <c r="AP40" s="98"/>
      <c r="AQ40" s="420"/>
      <c r="AR40" s="411"/>
      <c r="AS40" s="98" t="s">
        <v>25</v>
      </c>
      <c r="AT40" s="114">
        <v>5.0176948404278006E-2</v>
      </c>
      <c r="AU40" s="98" t="s">
        <v>55</v>
      </c>
      <c r="AV40" s="98"/>
      <c r="AW40" s="420"/>
      <c r="AX40" s="411"/>
      <c r="AY40" s="98" t="s">
        <v>25</v>
      </c>
      <c r="AZ40" s="114">
        <v>5.0391787422794133E-2</v>
      </c>
      <c r="BA40" s="98" t="s">
        <v>55</v>
      </c>
      <c r="BB40" s="98"/>
      <c r="BC40" s="420"/>
      <c r="BD40" s="411"/>
      <c r="BE40" s="98" t="s">
        <v>25</v>
      </c>
      <c r="BF40" s="114">
        <v>2.6130815937825663E-2</v>
      </c>
      <c r="BG40" s="98" t="s">
        <v>55</v>
      </c>
      <c r="BH40" s="98"/>
      <c r="BI40" s="420"/>
      <c r="BJ40" s="411"/>
      <c r="BK40" s="98" t="s">
        <v>25</v>
      </c>
      <c r="BL40" s="114">
        <v>2.6000790436044006E-2</v>
      </c>
      <c r="BM40" s="98" t="s">
        <v>55</v>
      </c>
      <c r="BN40" s="98"/>
      <c r="BO40" s="420"/>
      <c r="BP40" s="411"/>
      <c r="BQ40" s="333"/>
      <c r="BR40" s="332"/>
      <c r="BS40" s="333"/>
      <c r="BT40" s="333"/>
      <c r="BU40" s="420"/>
      <c r="BV40" s="411"/>
      <c r="BW40" s="333"/>
      <c r="BX40" s="332"/>
      <c r="BY40" s="333"/>
      <c r="BZ40" s="333"/>
      <c r="CA40" s="420"/>
      <c r="CB40" s="411"/>
      <c r="CC40" s="333"/>
      <c r="CD40" s="332"/>
      <c r="CE40" s="333"/>
      <c r="CF40" s="333"/>
      <c r="CG40" s="420"/>
    </row>
    <row r="41" spans="1:85" ht="30" x14ac:dyDescent="0.25">
      <c r="A41" s="98">
        <v>34</v>
      </c>
      <c r="B41" s="151"/>
      <c r="C41" s="283"/>
      <c r="D41" s="152"/>
      <c r="E41" s="148"/>
      <c r="H41" s="98">
        <v>34</v>
      </c>
      <c r="I41" s="151"/>
      <c r="J41" s="283"/>
      <c r="K41" s="152"/>
      <c r="L41" s="148"/>
      <c r="M41" s="169"/>
      <c r="N41" s="170"/>
      <c r="O41" s="170"/>
      <c r="P41" s="164"/>
      <c r="Q41" s="167"/>
      <c r="R41" s="167"/>
      <c r="S41" s="167"/>
      <c r="T41" s="167"/>
      <c r="U41" s="167"/>
      <c r="V41" s="167"/>
      <c r="W41" s="167"/>
      <c r="X41" s="167"/>
      <c r="Y41" s="167"/>
      <c r="Z41" s="41"/>
      <c r="AL41" s="118" t="s">
        <v>31</v>
      </c>
      <c r="AM41" s="166" t="s">
        <v>163</v>
      </c>
      <c r="AN41" s="421">
        <v>0.51724999999999999</v>
      </c>
      <c r="AO41" s="422"/>
      <c r="AP41" s="422"/>
      <c r="AQ41" s="101"/>
      <c r="AR41" s="118" t="s">
        <v>31</v>
      </c>
      <c r="AS41" s="166" t="s">
        <v>163</v>
      </c>
      <c r="AT41" s="421">
        <v>1.007625</v>
      </c>
      <c r="AU41" s="422"/>
      <c r="AV41" s="422"/>
      <c r="AW41" s="101"/>
      <c r="AX41" s="118" t="s">
        <v>31</v>
      </c>
      <c r="AY41" s="166" t="s">
        <v>163</v>
      </c>
      <c r="AZ41" s="421">
        <v>1.498375</v>
      </c>
      <c r="BA41" s="422"/>
      <c r="BB41" s="422"/>
      <c r="BC41" s="101"/>
      <c r="BD41" s="118" t="s">
        <v>31</v>
      </c>
      <c r="BE41" s="166" t="s">
        <v>163</v>
      </c>
      <c r="BF41" s="421">
        <v>0.1492</v>
      </c>
      <c r="BG41" s="422"/>
      <c r="BH41" s="422"/>
      <c r="BI41" s="101"/>
      <c r="BJ41" s="118" t="s">
        <v>31</v>
      </c>
      <c r="BK41" s="166" t="s">
        <v>163</v>
      </c>
      <c r="BL41" s="421">
        <v>0.17200000000000001</v>
      </c>
      <c r="BM41" s="422"/>
      <c r="BN41" s="422"/>
      <c r="BO41" s="101"/>
      <c r="BP41" s="118"/>
      <c r="BQ41" s="330"/>
      <c r="BR41" s="421"/>
      <c r="BS41" s="422"/>
      <c r="BT41" s="422"/>
      <c r="BU41" s="331"/>
      <c r="BV41" s="118"/>
      <c r="BW41" s="330"/>
      <c r="BX41" s="421"/>
      <c r="BY41" s="422"/>
      <c r="BZ41" s="422"/>
      <c r="CA41" s="331"/>
      <c r="CB41" s="118"/>
      <c r="CC41" s="330"/>
      <c r="CD41" s="421"/>
      <c r="CE41" s="422"/>
      <c r="CF41" s="422"/>
      <c r="CG41" s="331"/>
    </row>
    <row r="42" spans="1:85" x14ac:dyDescent="0.25">
      <c r="A42" s="98">
        <v>35</v>
      </c>
      <c r="B42" s="151"/>
      <c r="C42" s="283"/>
      <c r="D42" s="152"/>
      <c r="E42" s="148"/>
      <c r="H42" s="98">
        <v>35</v>
      </c>
      <c r="I42" s="151"/>
      <c r="J42" s="283"/>
      <c r="K42" s="152"/>
      <c r="L42" s="148"/>
      <c r="M42" s="171"/>
      <c r="N42" s="170"/>
      <c r="O42" s="170"/>
      <c r="P42" s="164"/>
      <c r="Q42" s="167"/>
      <c r="R42" s="167"/>
      <c r="S42" s="167"/>
      <c r="T42" s="167"/>
      <c r="U42" s="167"/>
      <c r="V42" s="167"/>
      <c r="W42" s="167"/>
      <c r="X42" s="167"/>
      <c r="Y42" s="167"/>
      <c r="Z42" s="41"/>
      <c r="AL42" s="412" t="s">
        <v>140</v>
      </c>
      <c r="AM42" s="415" t="s">
        <v>72</v>
      </c>
      <c r="AN42" s="415"/>
      <c r="AO42" s="416" t="s">
        <v>73</v>
      </c>
      <c r="AP42" s="416"/>
      <c r="AQ42" s="417"/>
      <c r="AR42" s="412" t="s">
        <v>140</v>
      </c>
      <c r="AS42" s="415" t="s">
        <v>72</v>
      </c>
      <c r="AT42" s="415"/>
      <c r="AU42" s="416" t="s">
        <v>73</v>
      </c>
      <c r="AV42" s="416"/>
      <c r="AW42" s="417"/>
      <c r="AX42" s="412" t="s">
        <v>140</v>
      </c>
      <c r="AY42" s="415" t="s">
        <v>72</v>
      </c>
      <c r="AZ42" s="415"/>
      <c r="BA42" s="416" t="s">
        <v>73</v>
      </c>
      <c r="BB42" s="416"/>
      <c r="BC42" s="417"/>
      <c r="BD42" s="412" t="s">
        <v>140</v>
      </c>
      <c r="BE42" s="415" t="s">
        <v>72</v>
      </c>
      <c r="BF42" s="415"/>
      <c r="BG42" s="416" t="s">
        <v>73</v>
      </c>
      <c r="BH42" s="416"/>
      <c r="BI42" s="417"/>
      <c r="BJ42" s="412" t="s">
        <v>140</v>
      </c>
      <c r="BK42" s="415" t="s">
        <v>72</v>
      </c>
      <c r="BL42" s="415"/>
      <c r="BM42" s="416" t="s">
        <v>73</v>
      </c>
      <c r="BN42" s="416"/>
      <c r="BO42" s="417"/>
      <c r="BP42" s="412"/>
      <c r="BQ42" s="415"/>
      <c r="BR42" s="415"/>
      <c r="BS42" s="416"/>
      <c r="BT42" s="416"/>
      <c r="BU42" s="417"/>
      <c r="BV42" s="412"/>
      <c r="BW42" s="415"/>
      <c r="BX42" s="415"/>
      <c r="BY42" s="416"/>
      <c r="BZ42" s="416"/>
      <c r="CA42" s="417"/>
      <c r="CB42" s="412"/>
      <c r="CC42" s="415"/>
      <c r="CD42" s="415"/>
      <c r="CE42" s="416"/>
      <c r="CF42" s="416"/>
      <c r="CG42" s="417"/>
    </row>
    <row r="43" spans="1:85" x14ac:dyDescent="0.25">
      <c r="A43" s="98">
        <v>36</v>
      </c>
      <c r="B43" s="151"/>
      <c r="C43" s="283"/>
      <c r="D43" s="152"/>
      <c r="E43" s="148"/>
      <c r="H43" s="98">
        <v>36</v>
      </c>
      <c r="I43" s="151"/>
      <c r="J43" s="283"/>
      <c r="K43" s="152"/>
      <c r="L43" s="148"/>
      <c r="M43" s="172"/>
      <c r="N43" s="41"/>
      <c r="O43" s="41"/>
      <c r="P43" s="164"/>
      <c r="Q43" s="167"/>
      <c r="R43" s="167"/>
      <c r="S43" s="167"/>
      <c r="T43" s="167"/>
      <c r="U43" s="167"/>
      <c r="V43" s="167"/>
      <c r="W43" s="167"/>
      <c r="X43" s="167"/>
      <c r="Y43" s="167"/>
      <c r="Z43" s="41"/>
      <c r="AL43" s="412"/>
      <c r="AM43" s="98" t="s">
        <v>62</v>
      </c>
      <c r="AN43" s="98">
        <v>0.95</v>
      </c>
      <c r="AO43" s="98" t="s">
        <v>62</v>
      </c>
      <c r="AP43" s="98">
        <v>0.85</v>
      </c>
      <c r="AQ43" s="417"/>
      <c r="AR43" s="412"/>
      <c r="AS43" s="98" t="s">
        <v>62</v>
      </c>
      <c r="AT43" s="98">
        <v>0.95</v>
      </c>
      <c r="AU43" s="98" t="s">
        <v>62</v>
      </c>
      <c r="AV43" s="98">
        <v>0.85</v>
      </c>
      <c r="AW43" s="417"/>
      <c r="AX43" s="412"/>
      <c r="AY43" s="98" t="s">
        <v>62</v>
      </c>
      <c r="AZ43" s="98">
        <v>0.95</v>
      </c>
      <c r="BA43" s="98" t="s">
        <v>62</v>
      </c>
      <c r="BB43" s="98">
        <v>0.85</v>
      </c>
      <c r="BC43" s="417"/>
      <c r="BD43" s="412"/>
      <c r="BE43" s="98" t="s">
        <v>62</v>
      </c>
      <c r="BF43" s="98"/>
      <c r="BG43" s="98" t="s">
        <v>62</v>
      </c>
      <c r="BH43" s="98"/>
      <c r="BI43" s="417"/>
      <c r="BJ43" s="412"/>
      <c r="BK43" s="98" t="s">
        <v>62</v>
      </c>
      <c r="BL43" s="98"/>
      <c r="BM43" s="98" t="s">
        <v>62</v>
      </c>
      <c r="BN43" s="98"/>
      <c r="BO43" s="417"/>
      <c r="BP43" s="412"/>
      <c r="BQ43" s="333"/>
      <c r="BR43" s="333"/>
      <c r="BS43" s="333"/>
      <c r="BT43" s="333"/>
      <c r="BU43" s="417"/>
      <c r="BV43" s="412"/>
      <c r="BW43" s="333"/>
      <c r="BX43" s="333"/>
      <c r="BY43" s="333"/>
      <c r="BZ43" s="333"/>
      <c r="CA43" s="417"/>
      <c r="CB43" s="412"/>
      <c r="CC43" s="333"/>
      <c r="CD43" s="333"/>
      <c r="CE43" s="333"/>
      <c r="CF43" s="333"/>
      <c r="CG43" s="417"/>
    </row>
    <row r="44" spans="1:85" x14ac:dyDescent="0.25">
      <c r="A44" s="98">
        <v>37</v>
      </c>
      <c r="B44" s="151"/>
      <c r="C44" s="283"/>
      <c r="D44" s="152"/>
      <c r="E44" s="148"/>
      <c r="H44" s="98">
        <v>37</v>
      </c>
      <c r="I44" s="151"/>
      <c r="J44" s="283"/>
      <c r="K44" s="152"/>
      <c r="L44" s="148"/>
      <c r="M44" s="171"/>
      <c r="N44" s="170"/>
      <c r="O44" s="170"/>
      <c r="P44" s="164"/>
      <c r="Q44" s="167"/>
      <c r="R44" s="167"/>
      <c r="S44" s="167"/>
      <c r="T44" s="167"/>
      <c r="U44" s="167"/>
      <c r="V44" s="167"/>
      <c r="W44" s="167"/>
      <c r="X44" s="167"/>
      <c r="Y44" s="167"/>
      <c r="Z44" s="41"/>
      <c r="AL44" s="412"/>
      <c r="AM44" s="98" t="s">
        <v>211</v>
      </c>
      <c r="AN44" s="98">
        <v>1.9</v>
      </c>
      <c r="AO44" s="98" t="s">
        <v>211</v>
      </c>
      <c r="AP44" s="98">
        <v>1.1200000000000001</v>
      </c>
      <c r="AQ44" s="417"/>
      <c r="AR44" s="412"/>
      <c r="AS44" s="98" t="s">
        <v>211</v>
      </c>
      <c r="AT44" s="98">
        <v>1.9</v>
      </c>
      <c r="AU44" s="98" t="s">
        <v>211</v>
      </c>
      <c r="AV44" s="98">
        <v>1.1200000000000001</v>
      </c>
      <c r="AW44" s="417"/>
      <c r="AX44" s="412"/>
      <c r="AY44" s="98" t="s">
        <v>211</v>
      </c>
      <c r="AZ44" s="98">
        <v>1.9</v>
      </c>
      <c r="BA44" s="98" t="s">
        <v>211</v>
      </c>
      <c r="BB44" s="98">
        <v>1.1200000000000001</v>
      </c>
      <c r="BC44" s="417"/>
      <c r="BD44" s="412"/>
      <c r="BE44" s="98" t="s">
        <v>211</v>
      </c>
      <c r="BF44" s="98"/>
      <c r="BG44" s="98" t="s">
        <v>211</v>
      </c>
      <c r="BH44" s="98"/>
      <c r="BI44" s="417"/>
      <c r="BJ44" s="412"/>
      <c r="BK44" s="98" t="s">
        <v>211</v>
      </c>
      <c r="BL44" s="98"/>
      <c r="BM44" s="98" t="s">
        <v>211</v>
      </c>
      <c r="BN44" s="98"/>
      <c r="BO44" s="417"/>
      <c r="BP44" s="412"/>
      <c r="BQ44" s="333"/>
      <c r="BR44" s="333"/>
      <c r="BS44" s="333"/>
      <c r="BT44" s="333"/>
      <c r="BU44" s="417"/>
      <c r="BV44" s="412"/>
      <c r="BW44" s="333"/>
      <c r="BX44" s="333"/>
      <c r="BY44" s="333"/>
      <c r="BZ44" s="333"/>
      <c r="CA44" s="417"/>
      <c r="CB44" s="412"/>
      <c r="CC44" s="333"/>
      <c r="CD44" s="333"/>
      <c r="CE44" s="333"/>
      <c r="CF44" s="333"/>
      <c r="CG44" s="417"/>
    </row>
    <row r="45" spans="1:85" x14ac:dyDescent="0.25">
      <c r="A45" s="98">
        <v>38</v>
      </c>
      <c r="B45" s="151"/>
      <c r="C45" s="283"/>
      <c r="D45" s="152"/>
      <c r="E45" s="148"/>
      <c r="H45" s="98">
        <v>38</v>
      </c>
      <c r="I45" s="151"/>
      <c r="J45" s="283"/>
      <c r="K45" s="152"/>
      <c r="L45" s="148"/>
      <c r="M45" s="172"/>
      <c r="N45" s="41"/>
      <c r="O45" s="41"/>
      <c r="P45" s="164"/>
      <c r="Q45" s="167"/>
      <c r="R45" s="167"/>
      <c r="S45" s="167"/>
      <c r="T45" s="167"/>
      <c r="U45" s="167"/>
      <c r="V45" s="167"/>
      <c r="W45" s="167"/>
      <c r="X45" s="167"/>
      <c r="Y45" s="167"/>
      <c r="Z45" s="41"/>
      <c r="AL45" s="412"/>
      <c r="AM45" s="98" t="s">
        <v>78</v>
      </c>
      <c r="AN45" s="99">
        <v>3.3420071970634901E-2</v>
      </c>
      <c r="AO45" s="98" t="s">
        <v>78</v>
      </c>
      <c r="AP45" s="99">
        <v>1.9700252951111101E-2</v>
      </c>
      <c r="AQ45" s="417"/>
      <c r="AR45" s="412"/>
      <c r="AS45" s="98" t="s">
        <v>78</v>
      </c>
      <c r="AT45" s="99">
        <v>3.3706437452116864E-2</v>
      </c>
      <c r="AU45" s="98" t="s">
        <v>78</v>
      </c>
      <c r="AV45" s="99">
        <v>1.9869057866510997E-2</v>
      </c>
      <c r="AW45" s="417"/>
      <c r="AX45" s="412"/>
      <c r="AY45" s="98" t="s">
        <v>78</v>
      </c>
      <c r="AZ45" s="99">
        <v>3.385075587263027E-2</v>
      </c>
      <c r="BA45" s="98" t="s">
        <v>78</v>
      </c>
      <c r="BB45" s="99">
        <v>1.9954129777550476E-2</v>
      </c>
      <c r="BC45" s="417"/>
      <c r="BD45" s="412"/>
      <c r="BE45" s="98" t="s">
        <v>78</v>
      </c>
      <c r="BF45" s="99"/>
      <c r="BG45" s="98" t="s">
        <v>78</v>
      </c>
      <c r="BH45" s="99"/>
      <c r="BI45" s="417"/>
      <c r="BJ45" s="412"/>
      <c r="BK45" s="98" t="s">
        <v>78</v>
      </c>
      <c r="BL45" s="99"/>
      <c r="BM45" s="98" t="s">
        <v>78</v>
      </c>
      <c r="BN45" s="99"/>
      <c r="BO45" s="417"/>
      <c r="BP45" s="412"/>
      <c r="BQ45" s="333"/>
      <c r="BR45" s="99"/>
      <c r="BS45" s="333"/>
      <c r="BT45" s="99"/>
      <c r="BU45" s="417"/>
      <c r="BV45" s="412"/>
      <c r="BW45" s="333"/>
      <c r="BX45" s="99"/>
      <c r="BY45" s="333"/>
      <c r="BZ45" s="99"/>
      <c r="CA45" s="417"/>
      <c r="CB45" s="412"/>
      <c r="CC45" s="333"/>
      <c r="CD45" s="99"/>
      <c r="CE45" s="333"/>
      <c r="CF45" s="99"/>
      <c r="CG45" s="417"/>
    </row>
    <row r="46" spans="1:85" ht="15.75" thickBot="1" x14ac:dyDescent="0.3">
      <c r="A46" s="98">
        <v>39</v>
      </c>
      <c r="B46" s="151"/>
      <c r="C46" s="283"/>
      <c r="D46" s="152"/>
      <c r="E46" s="148"/>
      <c r="H46" s="98">
        <v>39</v>
      </c>
      <c r="I46" s="151"/>
      <c r="J46" s="283"/>
      <c r="K46" s="152"/>
      <c r="L46" s="148"/>
      <c r="M46" s="171"/>
      <c r="N46" s="41"/>
      <c r="O46" s="41"/>
      <c r="P46" s="164"/>
      <c r="Q46" s="167"/>
      <c r="R46" s="167"/>
      <c r="S46" s="167"/>
      <c r="T46" s="167"/>
      <c r="U46" s="167"/>
      <c r="V46" s="167"/>
      <c r="W46" s="167"/>
      <c r="X46" s="167"/>
      <c r="Y46" s="167"/>
      <c r="Z46" s="41"/>
      <c r="AL46" s="413"/>
      <c r="AM46" s="124" t="s">
        <v>155</v>
      </c>
      <c r="AN46" s="125" t="s">
        <v>357</v>
      </c>
      <c r="AO46" s="124" t="s">
        <v>156</v>
      </c>
      <c r="AP46" s="125" t="s">
        <v>358</v>
      </c>
      <c r="AQ46" s="418"/>
      <c r="AR46" s="413"/>
      <c r="AS46" s="124" t="s">
        <v>155</v>
      </c>
      <c r="AT46" s="125" t="s">
        <v>359</v>
      </c>
      <c r="AU46" s="124" t="s">
        <v>156</v>
      </c>
      <c r="AV46" s="125" t="s">
        <v>360</v>
      </c>
      <c r="AW46" s="418"/>
      <c r="AX46" s="413"/>
      <c r="AY46" s="124" t="s">
        <v>155</v>
      </c>
      <c r="AZ46" s="125" t="s">
        <v>361</v>
      </c>
      <c r="BA46" s="124" t="s">
        <v>156</v>
      </c>
      <c r="BB46" s="125" t="s">
        <v>362</v>
      </c>
      <c r="BC46" s="418"/>
      <c r="BD46" s="413"/>
      <c r="BE46" s="124" t="s">
        <v>155</v>
      </c>
      <c r="BF46" s="125"/>
      <c r="BG46" s="124" t="s">
        <v>156</v>
      </c>
      <c r="BH46" s="125"/>
      <c r="BI46" s="418"/>
      <c r="BJ46" s="413"/>
      <c r="BK46" s="124" t="s">
        <v>155</v>
      </c>
      <c r="BL46" s="125"/>
      <c r="BM46" s="124" t="s">
        <v>156</v>
      </c>
      <c r="BN46" s="125"/>
      <c r="BO46" s="418"/>
      <c r="BP46" s="413"/>
      <c r="BQ46" s="124"/>
      <c r="BR46" s="125"/>
      <c r="BS46" s="124"/>
      <c r="BT46" s="125"/>
      <c r="BU46" s="418"/>
      <c r="BV46" s="413"/>
      <c r="BW46" s="124"/>
      <c r="BX46" s="125"/>
      <c r="BY46" s="124"/>
      <c r="BZ46" s="125"/>
      <c r="CA46" s="418"/>
      <c r="CB46" s="413"/>
      <c r="CC46" s="124"/>
      <c r="CD46" s="125"/>
      <c r="CE46" s="124"/>
      <c r="CF46" s="125"/>
      <c r="CG46" s="418"/>
    </row>
    <row r="47" spans="1:85" x14ac:dyDescent="0.25">
      <c r="A47" s="98">
        <v>40</v>
      </c>
      <c r="B47" s="151"/>
      <c r="C47" s="283"/>
      <c r="D47" s="152"/>
      <c r="E47" s="148"/>
      <c r="H47" s="98">
        <v>40</v>
      </c>
      <c r="I47" s="151"/>
      <c r="J47" s="283"/>
      <c r="K47" s="152"/>
      <c r="L47" s="148"/>
      <c r="M47" s="172"/>
      <c r="N47" s="41"/>
      <c r="O47" s="41"/>
      <c r="P47" s="164"/>
      <c r="Q47" s="167"/>
      <c r="R47" s="167"/>
      <c r="S47" s="167"/>
      <c r="T47" s="167"/>
      <c r="U47" s="167"/>
      <c r="V47" s="167"/>
      <c r="W47" s="167"/>
      <c r="X47" s="167"/>
      <c r="Y47" s="167"/>
      <c r="Z47" s="41"/>
    </row>
    <row r="48" spans="1:85" x14ac:dyDescent="0.25">
      <c r="A48" s="98">
        <v>41</v>
      </c>
      <c r="B48" s="151"/>
      <c r="C48" s="283"/>
      <c r="D48" s="152"/>
      <c r="E48" s="148"/>
      <c r="H48" s="98">
        <v>41</v>
      </c>
      <c r="I48" s="151"/>
      <c r="J48" s="283"/>
      <c r="K48" s="152"/>
      <c r="L48" s="148"/>
      <c r="M48" s="172"/>
      <c r="N48" s="41"/>
      <c r="O48" s="41"/>
      <c r="P48" s="164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spans="1:26" x14ac:dyDescent="0.25">
      <c r="A49" s="98">
        <v>42</v>
      </c>
      <c r="B49" s="151"/>
      <c r="C49" s="283"/>
      <c r="D49" s="152"/>
      <c r="E49" s="148"/>
      <c r="H49" s="98">
        <v>42</v>
      </c>
      <c r="I49" s="151"/>
      <c r="J49" s="283"/>
      <c r="K49" s="152"/>
      <c r="L49" s="148"/>
      <c r="M49" s="172"/>
      <c r="N49" s="41"/>
      <c r="O49" s="41"/>
      <c r="P49" s="164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spans="1:26" x14ac:dyDescent="0.25">
      <c r="A50" s="98">
        <v>43</v>
      </c>
      <c r="B50" s="151"/>
      <c r="C50" s="283"/>
      <c r="D50" s="152"/>
      <c r="E50" s="148"/>
      <c r="H50" s="98">
        <v>43</v>
      </c>
      <c r="I50" s="151"/>
      <c r="J50" s="283"/>
      <c r="K50" s="152"/>
      <c r="L50" s="148"/>
      <c r="M50" s="173"/>
      <c r="N50" s="41"/>
      <c r="O50" s="41"/>
      <c r="P50" s="164"/>
      <c r="Q50" s="41"/>
      <c r="R50" s="41"/>
      <c r="S50" s="41"/>
      <c r="T50" s="41"/>
      <c r="U50" s="41"/>
      <c r="V50" s="41"/>
      <c r="W50" s="41"/>
      <c r="X50" s="41"/>
      <c r="Y50" s="41"/>
      <c r="Z50" s="41"/>
    </row>
    <row r="51" spans="1:26" x14ac:dyDescent="0.25">
      <c r="A51" s="98">
        <v>44</v>
      </c>
      <c r="B51" s="151"/>
      <c r="C51" s="283"/>
      <c r="D51" s="152"/>
      <c r="E51" s="148"/>
      <c r="H51" s="98">
        <v>44</v>
      </c>
      <c r="I51" s="151"/>
      <c r="J51" s="283"/>
      <c r="K51" s="152"/>
      <c r="L51" s="148"/>
      <c r="M51" s="170"/>
      <c r="N51" s="41"/>
      <c r="O51" s="41"/>
      <c r="P51" s="164"/>
      <c r="Q51" s="41"/>
      <c r="R51" s="41"/>
      <c r="S51" s="41"/>
      <c r="T51" s="41"/>
      <c r="U51" s="41"/>
      <c r="V51" s="41"/>
      <c r="W51" s="41"/>
      <c r="X51" s="41"/>
      <c r="Y51" s="41"/>
      <c r="Z51" s="41"/>
    </row>
    <row r="52" spans="1:26" x14ac:dyDescent="0.25">
      <c r="A52" s="98">
        <v>45</v>
      </c>
      <c r="B52" s="151"/>
      <c r="C52" s="283"/>
      <c r="D52" s="152"/>
      <c r="E52" s="148"/>
      <c r="H52" s="98">
        <v>45</v>
      </c>
      <c r="I52" s="151"/>
      <c r="J52" s="283"/>
      <c r="K52" s="152"/>
      <c r="L52" s="148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</row>
    <row r="53" spans="1:26" x14ac:dyDescent="0.25">
      <c r="A53" s="98">
        <v>46</v>
      </c>
      <c r="B53" s="151"/>
      <c r="C53" s="283"/>
      <c r="D53" s="152"/>
      <c r="E53" s="148"/>
      <c r="H53" s="98">
        <v>46</v>
      </c>
      <c r="I53" s="151"/>
      <c r="J53" s="283"/>
      <c r="K53" s="152"/>
      <c r="L53" s="148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</row>
    <row r="54" spans="1:26" x14ac:dyDescent="0.25">
      <c r="A54" s="98">
        <v>47</v>
      </c>
      <c r="B54" s="151"/>
      <c r="C54" s="283"/>
      <c r="D54" s="152"/>
      <c r="E54" s="148"/>
      <c r="H54" s="98">
        <v>47</v>
      </c>
      <c r="I54" s="151"/>
      <c r="J54" s="283"/>
      <c r="K54" s="152"/>
      <c r="L54" s="148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</row>
    <row r="55" spans="1:26" x14ac:dyDescent="0.25">
      <c r="A55" s="98">
        <v>48</v>
      </c>
      <c r="B55" s="151"/>
      <c r="C55" s="283"/>
      <c r="D55" s="152"/>
      <c r="E55" s="148"/>
      <c r="H55" s="98">
        <v>48</v>
      </c>
      <c r="I55" s="151"/>
      <c r="J55" s="283"/>
      <c r="K55" s="152"/>
      <c r="L55" s="148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</row>
    <row r="56" spans="1:26" x14ac:dyDescent="0.25">
      <c r="A56" s="98">
        <v>49</v>
      </c>
      <c r="B56" s="151"/>
      <c r="C56" s="283"/>
      <c r="D56" s="152"/>
      <c r="E56" s="148"/>
      <c r="H56" s="98">
        <v>49</v>
      </c>
      <c r="I56" s="151"/>
      <c r="J56" s="283"/>
      <c r="K56" s="152"/>
      <c r="L56" s="148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</row>
    <row r="57" spans="1:26" x14ac:dyDescent="0.25">
      <c r="A57" s="98">
        <v>50</v>
      </c>
      <c r="B57" s="151"/>
      <c r="C57" s="283"/>
      <c r="D57" s="152"/>
      <c r="E57" s="148"/>
      <c r="H57" s="98">
        <v>50</v>
      </c>
      <c r="I57" s="151"/>
      <c r="J57" s="283"/>
      <c r="K57" s="152"/>
      <c r="L57" s="148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</row>
    <row r="58" spans="1:26" x14ac:dyDescent="0.25">
      <c r="A58" s="98">
        <v>51</v>
      </c>
      <c r="B58" s="151"/>
      <c r="C58" s="283"/>
      <c r="D58" s="152"/>
      <c r="E58" s="148"/>
      <c r="H58" s="98">
        <v>51</v>
      </c>
      <c r="I58" s="151"/>
      <c r="J58" s="283"/>
      <c r="K58" s="152"/>
      <c r="L58" s="148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</row>
    <row r="59" spans="1:26" x14ac:dyDescent="0.25">
      <c r="A59" s="98">
        <v>52</v>
      </c>
      <c r="B59" s="151"/>
      <c r="C59" s="283"/>
      <c r="D59" s="152"/>
      <c r="E59" s="148"/>
      <c r="H59" s="98">
        <v>52</v>
      </c>
      <c r="I59" s="151"/>
      <c r="J59" s="283"/>
      <c r="K59" s="152"/>
      <c r="L59" s="148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</row>
    <row r="60" spans="1:26" x14ac:dyDescent="0.25">
      <c r="A60" s="98">
        <v>53</v>
      </c>
      <c r="B60" s="151"/>
      <c r="C60" s="283"/>
      <c r="D60" s="152"/>
      <c r="E60" s="148"/>
      <c r="H60" s="98">
        <v>53</v>
      </c>
      <c r="I60" s="151"/>
      <c r="J60" s="283"/>
      <c r="K60" s="152"/>
      <c r="L60" s="148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</row>
    <row r="61" spans="1:26" x14ac:dyDescent="0.25">
      <c r="A61" s="98">
        <v>54</v>
      </c>
      <c r="B61" s="151"/>
      <c r="C61" s="283"/>
      <c r="D61" s="152"/>
      <c r="E61" s="148"/>
      <c r="H61" s="98">
        <v>54</v>
      </c>
      <c r="I61" s="151"/>
      <c r="J61" s="283"/>
      <c r="K61" s="152"/>
      <c r="L61" s="148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</row>
    <row r="62" spans="1:26" x14ac:dyDescent="0.25">
      <c r="A62" s="98">
        <v>55</v>
      </c>
      <c r="B62" s="151"/>
      <c r="C62" s="283"/>
      <c r="D62" s="152"/>
      <c r="E62" s="148"/>
      <c r="H62" s="98">
        <v>55</v>
      </c>
      <c r="I62" s="151"/>
      <c r="J62" s="283"/>
      <c r="K62" s="152"/>
      <c r="L62" s="148"/>
    </row>
    <row r="63" spans="1:26" x14ac:dyDescent="0.25">
      <c r="A63" s="98">
        <v>56</v>
      </c>
      <c r="B63" s="151"/>
      <c r="C63" s="283"/>
      <c r="D63" s="152"/>
      <c r="E63" s="148"/>
      <c r="H63" s="98">
        <v>56</v>
      </c>
      <c r="I63" s="151"/>
      <c r="J63" s="283"/>
      <c r="K63" s="152"/>
      <c r="L63" s="148"/>
    </row>
    <row r="64" spans="1:26" x14ac:dyDescent="0.25">
      <c r="A64" s="98">
        <v>57</v>
      </c>
      <c r="B64" s="151"/>
      <c r="C64" s="283"/>
      <c r="D64" s="152"/>
      <c r="E64" s="148"/>
      <c r="H64" s="98">
        <v>57</v>
      </c>
      <c r="I64" s="151"/>
      <c r="J64" s="283"/>
      <c r="K64" s="152"/>
      <c r="L64" s="148"/>
    </row>
    <row r="65" spans="1:12" x14ac:dyDescent="0.25">
      <c r="A65" s="98">
        <v>58</v>
      </c>
      <c r="B65" s="151"/>
      <c r="C65" s="283"/>
      <c r="D65" s="152"/>
      <c r="E65" s="148"/>
      <c r="H65" s="98">
        <v>58</v>
      </c>
      <c r="I65" s="151"/>
      <c r="J65" s="283"/>
      <c r="K65" s="152"/>
      <c r="L65" s="148"/>
    </row>
    <row r="66" spans="1:12" x14ac:dyDescent="0.25">
      <c r="A66" s="98">
        <v>59</v>
      </c>
      <c r="B66" s="151"/>
      <c r="C66" s="283"/>
      <c r="D66" s="152"/>
      <c r="E66" s="148"/>
      <c r="H66" s="98">
        <v>59</v>
      </c>
      <c r="I66" s="151"/>
      <c r="J66" s="283"/>
      <c r="K66" s="152"/>
      <c r="L66" s="148"/>
    </row>
    <row r="67" spans="1:12" x14ac:dyDescent="0.25">
      <c r="A67" s="98">
        <v>60</v>
      </c>
      <c r="B67" s="151"/>
      <c r="C67" s="283"/>
      <c r="D67" s="152"/>
      <c r="E67" s="148"/>
      <c r="H67" s="98">
        <v>60</v>
      </c>
      <c r="I67" s="151"/>
      <c r="J67" s="283"/>
      <c r="K67" s="152"/>
      <c r="L67" s="148"/>
    </row>
    <row r="68" spans="1:12" x14ac:dyDescent="0.25">
      <c r="A68" s="98">
        <v>61</v>
      </c>
      <c r="B68" s="151"/>
      <c r="C68" s="283"/>
      <c r="D68" s="152"/>
      <c r="E68" s="148"/>
      <c r="H68" s="98">
        <v>61</v>
      </c>
      <c r="I68" s="151"/>
      <c r="J68" s="283"/>
      <c r="K68" s="152"/>
      <c r="L68" s="148"/>
    </row>
    <row r="69" spans="1:12" x14ac:dyDescent="0.25">
      <c r="A69" s="98">
        <v>62</v>
      </c>
      <c r="B69" s="151"/>
      <c r="C69" s="283"/>
      <c r="D69" s="152"/>
      <c r="E69" s="148"/>
      <c r="H69" s="98">
        <v>62</v>
      </c>
      <c r="I69" s="151"/>
      <c r="J69" s="283"/>
      <c r="K69" s="152"/>
      <c r="L69" s="148"/>
    </row>
    <row r="70" spans="1:12" x14ac:dyDescent="0.25">
      <c r="A70" s="98">
        <v>63</v>
      </c>
      <c r="B70" s="151"/>
      <c r="C70" s="283"/>
      <c r="D70" s="152"/>
      <c r="E70" s="148"/>
      <c r="H70" s="98">
        <v>63</v>
      </c>
      <c r="I70" s="151"/>
      <c r="J70" s="283"/>
      <c r="K70" s="152"/>
      <c r="L70" s="148"/>
    </row>
    <row r="71" spans="1:12" x14ac:dyDescent="0.25">
      <c r="A71" s="98">
        <v>64</v>
      </c>
      <c r="B71" s="151"/>
      <c r="C71" s="283"/>
      <c r="D71" s="152"/>
      <c r="E71" s="148"/>
      <c r="H71" s="98">
        <v>64</v>
      </c>
      <c r="I71" s="151"/>
      <c r="J71" s="283"/>
      <c r="K71" s="152"/>
      <c r="L71" s="148"/>
    </row>
    <row r="72" spans="1:12" x14ac:dyDescent="0.25">
      <c r="A72" s="98">
        <v>65</v>
      </c>
      <c r="B72" s="151"/>
      <c r="C72" s="283"/>
      <c r="D72" s="152"/>
      <c r="E72" s="148"/>
      <c r="H72" s="98">
        <v>65</v>
      </c>
      <c r="I72" s="151"/>
      <c r="J72" s="283"/>
      <c r="K72" s="152"/>
      <c r="L72" s="148"/>
    </row>
    <row r="73" spans="1:12" x14ac:dyDescent="0.25">
      <c r="A73" s="98">
        <v>66</v>
      </c>
      <c r="B73" s="151"/>
      <c r="C73" s="283"/>
      <c r="D73" s="152"/>
      <c r="E73" s="148"/>
      <c r="H73" s="98">
        <v>66</v>
      </c>
      <c r="I73" s="151"/>
      <c r="J73" s="283"/>
      <c r="K73" s="152"/>
      <c r="L73" s="148"/>
    </row>
    <row r="74" spans="1:12" x14ac:dyDescent="0.25">
      <c r="A74" s="98">
        <v>67</v>
      </c>
      <c r="B74" s="151"/>
      <c r="C74" s="283"/>
      <c r="D74" s="152"/>
      <c r="E74" s="148"/>
      <c r="H74" s="98">
        <v>67</v>
      </c>
      <c r="I74" s="151"/>
      <c r="J74" s="283"/>
      <c r="K74" s="152"/>
      <c r="L74" s="148"/>
    </row>
    <row r="75" spans="1:12" x14ac:dyDescent="0.25">
      <c r="A75" s="98">
        <v>68</v>
      </c>
      <c r="B75" s="151"/>
      <c r="C75" s="283"/>
      <c r="D75" s="152"/>
      <c r="E75" s="148"/>
      <c r="H75" s="98">
        <v>68</v>
      </c>
      <c r="I75" s="151"/>
      <c r="J75" s="283"/>
      <c r="K75" s="152"/>
      <c r="L75" s="148"/>
    </row>
    <row r="76" spans="1:12" x14ac:dyDescent="0.25">
      <c r="A76" s="98">
        <v>69</v>
      </c>
      <c r="B76" s="151"/>
      <c r="C76" s="283"/>
      <c r="D76" s="152"/>
      <c r="E76" s="148"/>
      <c r="H76" s="98">
        <v>69</v>
      </c>
      <c r="I76" s="151"/>
      <c r="J76" s="283"/>
      <c r="K76" s="152"/>
      <c r="L76" s="148"/>
    </row>
    <row r="77" spans="1:12" x14ac:dyDescent="0.25">
      <c r="A77" s="98">
        <v>70</v>
      </c>
      <c r="B77" s="151"/>
      <c r="C77" s="283"/>
      <c r="D77" s="152"/>
      <c r="E77" s="148"/>
      <c r="H77" s="98">
        <v>70</v>
      </c>
      <c r="I77" s="151"/>
      <c r="J77" s="283"/>
      <c r="K77" s="152"/>
      <c r="L77" s="148"/>
    </row>
    <row r="78" spans="1:12" x14ac:dyDescent="0.25">
      <c r="A78" s="98">
        <v>71</v>
      </c>
      <c r="B78" s="151"/>
      <c r="C78" s="283"/>
      <c r="D78" s="152"/>
      <c r="E78" s="148"/>
      <c r="H78" s="98">
        <v>71</v>
      </c>
      <c r="I78" s="151"/>
      <c r="J78" s="283"/>
      <c r="K78" s="152"/>
      <c r="L78" s="148"/>
    </row>
    <row r="79" spans="1:12" x14ac:dyDescent="0.25">
      <c r="A79" s="98">
        <v>72</v>
      </c>
      <c r="B79" s="151"/>
      <c r="C79" s="283"/>
      <c r="D79" s="152"/>
      <c r="E79" s="148"/>
      <c r="H79" s="98">
        <v>72</v>
      </c>
      <c r="I79" s="151"/>
      <c r="J79" s="283"/>
      <c r="K79" s="152"/>
      <c r="L79" s="148"/>
    </row>
    <row r="80" spans="1:12" x14ac:dyDescent="0.25">
      <c r="A80" s="98">
        <v>73</v>
      </c>
      <c r="B80" s="151"/>
      <c r="C80" s="283"/>
      <c r="D80" s="152"/>
      <c r="E80" s="148"/>
      <c r="H80" s="98">
        <v>73</v>
      </c>
      <c r="I80" s="151"/>
      <c r="J80" s="283"/>
      <c r="K80" s="152"/>
      <c r="L80" s="148"/>
    </row>
    <row r="81" spans="1:12" x14ac:dyDescent="0.25">
      <c r="A81" s="98">
        <v>74</v>
      </c>
      <c r="B81" s="151"/>
      <c r="C81" s="283"/>
      <c r="D81" s="152"/>
      <c r="E81" s="148"/>
      <c r="H81" s="98">
        <v>74</v>
      </c>
      <c r="I81" s="151"/>
      <c r="J81" s="283"/>
      <c r="K81" s="152"/>
      <c r="L81" s="148"/>
    </row>
    <row r="82" spans="1:12" x14ac:dyDescent="0.25">
      <c r="A82" s="98">
        <v>75</v>
      </c>
      <c r="B82" s="151"/>
      <c r="C82" s="283"/>
      <c r="D82" s="152"/>
      <c r="E82" s="148"/>
      <c r="H82" s="98">
        <v>75</v>
      </c>
      <c r="I82" s="151"/>
      <c r="J82" s="283"/>
      <c r="K82" s="152"/>
      <c r="L82" s="148"/>
    </row>
    <row r="83" spans="1:12" x14ac:dyDescent="0.25">
      <c r="A83" s="98">
        <v>76</v>
      </c>
      <c r="B83" s="151"/>
      <c r="C83" s="283"/>
      <c r="D83" s="152"/>
      <c r="E83" s="148"/>
      <c r="H83" s="98">
        <v>76</v>
      </c>
      <c r="I83" s="151"/>
      <c r="J83" s="283"/>
      <c r="K83" s="152"/>
      <c r="L83" s="148"/>
    </row>
    <row r="84" spans="1:12" x14ac:dyDescent="0.25">
      <c r="A84" s="98">
        <v>77</v>
      </c>
      <c r="B84" s="151"/>
      <c r="C84" s="283"/>
      <c r="D84" s="152"/>
      <c r="E84" s="148"/>
      <c r="H84" s="98">
        <v>77</v>
      </c>
      <c r="I84" s="151"/>
      <c r="J84" s="283"/>
      <c r="K84" s="152"/>
      <c r="L84" s="148"/>
    </row>
    <row r="85" spans="1:12" x14ac:dyDescent="0.25">
      <c r="A85" s="98">
        <v>78</v>
      </c>
      <c r="B85" s="151"/>
      <c r="C85" s="283"/>
      <c r="D85" s="152"/>
      <c r="E85" s="148"/>
      <c r="H85" s="98">
        <v>78</v>
      </c>
      <c r="I85" s="151"/>
      <c r="J85" s="283"/>
      <c r="K85" s="152"/>
      <c r="L85" s="148"/>
    </row>
    <row r="86" spans="1:12" x14ac:dyDescent="0.25">
      <c r="A86" s="98">
        <v>79</v>
      </c>
      <c r="B86" s="151"/>
      <c r="C86" s="283"/>
      <c r="D86" s="152"/>
      <c r="E86" s="148"/>
      <c r="H86" s="98">
        <v>79</v>
      </c>
      <c r="I86" s="151"/>
      <c r="J86" s="283"/>
      <c r="K86" s="152"/>
      <c r="L86" s="148"/>
    </row>
    <row r="87" spans="1:12" x14ac:dyDescent="0.25">
      <c r="A87" s="98">
        <v>80</v>
      </c>
      <c r="B87" s="151"/>
      <c r="C87" s="283"/>
      <c r="D87" s="152"/>
      <c r="E87" s="148"/>
      <c r="H87" s="98">
        <v>80</v>
      </c>
      <c r="I87" s="151"/>
      <c r="J87" s="283"/>
      <c r="K87" s="152"/>
      <c r="L87" s="148"/>
    </row>
    <row r="88" spans="1:12" x14ac:dyDescent="0.25">
      <c r="A88" s="98">
        <v>81</v>
      </c>
      <c r="B88" s="151"/>
      <c r="C88" s="283"/>
      <c r="D88" s="152"/>
      <c r="E88" s="148"/>
      <c r="H88" s="98">
        <v>81</v>
      </c>
      <c r="I88" s="151"/>
      <c r="J88" s="283"/>
      <c r="K88" s="152"/>
      <c r="L88" s="148"/>
    </row>
    <row r="89" spans="1:12" x14ac:dyDescent="0.25">
      <c r="A89" s="98">
        <v>82</v>
      </c>
      <c r="B89" s="151"/>
      <c r="C89" s="98"/>
      <c r="D89" s="98"/>
      <c r="E89" s="148"/>
      <c r="H89" s="98">
        <v>82</v>
      </c>
      <c r="I89" s="151"/>
      <c r="J89" s="333"/>
      <c r="K89" s="333"/>
      <c r="L89" s="148"/>
    </row>
    <row r="90" spans="1:12" x14ac:dyDescent="0.25">
      <c r="A90" s="98">
        <v>83</v>
      </c>
      <c r="B90" s="151"/>
      <c r="C90" s="98"/>
      <c r="D90" s="98"/>
      <c r="E90" s="148"/>
      <c r="H90" s="98">
        <v>83</v>
      </c>
      <c r="I90" s="151"/>
      <c r="J90" s="333"/>
      <c r="K90" s="333"/>
      <c r="L90" s="148"/>
    </row>
    <row r="91" spans="1:12" x14ac:dyDescent="0.25">
      <c r="A91" s="98">
        <v>84</v>
      </c>
      <c r="B91" s="151"/>
      <c r="C91" s="98"/>
      <c r="D91" s="98"/>
      <c r="E91" s="148"/>
      <c r="H91" s="98">
        <v>84</v>
      </c>
      <c r="I91" s="151"/>
      <c r="J91" s="333"/>
      <c r="K91" s="333"/>
      <c r="L91" s="148"/>
    </row>
    <row r="92" spans="1:12" x14ac:dyDescent="0.25">
      <c r="A92" s="98">
        <v>85</v>
      </c>
      <c r="B92" s="151"/>
      <c r="C92" s="98"/>
      <c r="D92" s="98"/>
      <c r="E92" s="148"/>
      <c r="H92" s="98">
        <v>85</v>
      </c>
      <c r="I92" s="151"/>
      <c r="J92" s="333"/>
      <c r="K92" s="333"/>
      <c r="L92" s="148"/>
    </row>
    <row r="93" spans="1:12" x14ac:dyDescent="0.25">
      <c r="A93" s="98">
        <v>86</v>
      </c>
      <c r="B93" s="151"/>
      <c r="C93" s="98"/>
      <c r="D93" s="98"/>
      <c r="E93" s="148"/>
      <c r="H93" s="98">
        <v>86</v>
      </c>
      <c r="I93" s="151"/>
      <c r="J93" s="333"/>
      <c r="K93" s="333"/>
      <c r="L93" s="148"/>
    </row>
    <row r="94" spans="1:12" x14ac:dyDescent="0.25">
      <c r="A94" s="98">
        <v>87</v>
      </c>
      <c r="B94" s="151"/>
      <c r="C94" s="98"/>
      <c r="D94" s="98"/>
      <c r="E94" s="148"/>
      <c r="H94" s="98">
        <v>87</v>
      </c>
      <c r="I94" s="151"/>
      <c r="J94" s="333"/>
      <c r="K94" s="333"/>
      <c r="L94" s="148"/>
    </row>
    <row r="95" spans="1:12" x14ac:dyDescent="0.25">
      <c r="A95" s="98">
        <v>88</v>
      </c>
      <c r="B95" s="151"/>
      <c r="C95" s="98"/>
      <c r="D95" s="98"/>
      <c r="E95" s="148"/>
      <c r="H95" s="98">
        <v>88</v>
      </c>
      <c r="I95" s="151"/>
      <c r="J95" s="333"/>
      <c r="K95" s="333"/>
      <c r="L95" s="148"/>
    </row>
    <row r="96" spans="1:12" x14ac:dyDescent="0.25">
      <c r="A96" s="98">
        <v>89</v>
      </c>
      <c r="B96" s="151"/>
      <c r="C96" s="98"/>
      <c r="D96" s="98"/>
      <c r="E96" s="148"/>
      <c r="H96" s="98">
        <v>89</v>
      </c>
      <c r="I96" s="151"/>
      <c r="J96" s="333"/>
      <c r="K96" s="333"/>
      <c r="L96" s="148"/>
    </row>
    <row r="97" spans="1:12" x14ac:dyDescent="0.25">
      <c r="A97" s="98">
        <v>90</v>
      </c>
      <c r="B97" s="151"/>
      <c r="C97" s="98"/>
      <c r="D97" s="98"/>
      <c r="E97" s="148"/>
      <c r="H97" s="98">
        <v>90</v>
      </c>
      <c r="I97" s="151"/>
      <c r="J97" s="333"/>
      <c r="K97" s="333"/>
      <c r="L97" s="148"/>
    </row>
    <row r="98" spans="1:12" x14ac:dyDescent="0.25">
      <c r="A98" s="98">
        <v>91</v>
      </c>
      <c r="B98" s="151"/>
      <c r="C98" s="98"/>
      <c r="D98" s="98"/>
      <c r="E98" s="148"/>
      <c r="H98" s="98">
        <v>91</v>
      </c>
      <c r="I98" s="98"/>
      <c r="J98" s="98"/>
      <c r="K98" s="98"/>
      <c r="L98" s="148"/>
    </row>
    <row r="99" spans="1:12" x14ac:dyDescent="0.25">
      <c r="A99" s="98">
        <v>92</v>
      </c>
      <c r="B99" s="151"/>
      <c r="C99" s="98"/>
      <c r="D99" s="98"/>
      <c r="E99" s="148"/>
      <c r="H99" s="98">
        <v>92</v>
      </c>
      <c r="I99" s="98"/>
      <c r="J99" s="98"/>
      <c r="K99" s="98"/>
      <c r="L99" s="148"/>
    </row>
    <row r="100" spans="1:12" x14ac:dyDescent="0.25">
      <c r="A100" s="98">
        <v>93</v>
      </c>
      <c r="B100" s="151"/>
      <c r="C100" s="98"/>
      <c r="D100" s="98"/>
      <c r="E100" s="148"/>
      <c r="H100" s="98">
        <v>93</v>
      </c>
      <c r="I100" s="98"/>
      <c r="J100" s="98"/>
      <c r="K100" s="98"/>
      <c r="L100" s="148"/>
    </row>
    <row r="101" spans="1:12" x14ac:dyDescent="0.25">
      <c r="A101" s="98">
        <v>94</v>
      </c>
      <c r="B101" s="151"/>
      <c r="C101" s="98"/>
      <c r="D101" s="98"/>
      <c r="E101" s="148"/>
      <c r="H101" s="98">
        <v>94</v>
      </c>
      <c r="I101" s="98"/>
      <c r="J101" s="98"/>
      <c r="K101" s="98"/>
      <c r="L101" s="148"/>
    </row>
    <row r="102" spans="1:12" x14ac:dyDescent="0.25">
      <c r="A102" s="98">
        <v>95</v>
      </c>
      <c r="B102" s="151"/>
      <c r="C102" s="98"/>
      <c r="D102" s="98"/>
      <c r="E102" s="148"/>
      <c r="H102" s="98">
        <v>95</v>
      </c>
      <c r="I102" s="98"/>
      <c r="J102" s="98"/>
      <c r="K102" s="98"/>
      <c r="L102" s="148"/>
    </row>
    <row r="103" spans="1:12" x14ac:dyDescent="0.25">
      <c r="A103" s="98">
        <v>96</v>
      </c>
      <c r="B103" s="151"/>
      <c r="C103" s="98"/>
      <c r="D103" s="98"/>
      <c r="E103" s="148"/>
      <c r="H103" s="98">
        <v>96</v>
      </c>
      <c r="I103" s="98"/>
      <c r="J103" s="98"/>
      <c r="K103" s="98"/>
      <c r="L103" s="148"/>
    </row>
    <row r="104" spans="1:12" x14ac:dyDescent="0.25">
      <c r="A104" s="98">
        <v>97</v>
      </c>
      <c r="B104" s="151"/>
      <c r="C104" s="98"/>
      <c r="D104" s="98"/>
      <c r="E104" s="148"/>
      <c r="H104" s="98">
        <v>97</v>
      </c>
      <c r="I104" s="98"/>
      <c r="J104" s="98"/>
      <c r="K104" s="98"/>
      <c r="L104" s="148"/>
    </row>
    <row r="105" spans="1:12" x14ac:dyDescent="0.25">
      <c r="A105" s="98">
        <v>98</v>
      </c>
      <c r="B105" s="151"/>
      <c r="C105" s="98"/>
      <c r="D105" s="98"/>
      <c r="E105" s="148"/>
      <c r="H105" s="98">
        <v>98</v>
      </c>
      <c r="I105" s="98"/>
      <c r="J105" s="98"/>
      <c r="K105" s="98"/>
      <c r="L105" s="148"/>
    </row>
    <row r="106" spans="1:12" x14ac:dyDescent="0.25">
      <c r="A106" s="98">
        <v>99</v>
      </c>
      <c r="B106" s="151"/>
      <c r="C106" s="98"/>
      <c r="D106" s="98"/>
      <c r="E106" s="148"/>
      <c r="H106" s="98">
        <v>99</v>
      </c>
      <c r="I106" s="98"/>
      <c r="J106" s="98"/>
      <c r="K106" s="98"/>
      <c r="L106" s="148"/>
    </row>
    <row r="107" spans="1:12" x14ac:dyDescent="0.25">
      <c r="A107" s="98">
        <v>100</v>
      </c>
      <c r="B107" s="151"/>
      <c r="C107" s="98"/>
      <c r="D107" s="98"/>
      <c r="E107" s="148"/>
      <c r="H107" s="98">
        <v>100</v>
      </c>
      <c r="I107" s="98"/>
      <c r="J107" s="98"/>
      <c r="K107" s="98"/>
      <c r="L107" s="148"/>
    </row>
    <row r="108" spans="1:12" x14ac:dyDescent="0.25">
      <c r="A108" s="41"/>
      <c r="B108" s="41"/>
      <c r="C108" s="41"/>
      <c r="D108" s="41"/>
      <c r="E108" s="41"/>
    </row>
    <row r="109" spans="1:12" x14ac:dyDescent="0.25">
      <c r="A109" s="41"/>
      <c r="B109" s="41"/>
      <c r="C109" s="41"/>
      <c r="D109" s="41"/>
      <c r="E109" s="41"/>
    </row>
    <row r="110" spans="1:12" x14ac:dyDescent="0.25">
      <c r="A110" s="41"/>
      <c r="B110" s="41"/>
      <c r="C110" s="41"/>
      <c r="D110" s="41"/>
      <c r="E110" s="41"/>
    </row>
    <row r="111" spans="1:12" x14ac:dyDescent="0.25">
      <c r="A111" s="41"/>
      <c r="B111" s="41"/>
      <c r="C111" s="41"/>
      <c r="D111" s="41"/>
      <c r="E111" s="41"/>
    </row>
    <row r="112" spans="1:12" x14ac:dyDescent="0.25">
      <c r="A112" s="41"/>
      <c r="B112" s="41"/>
      <c r="C112" s="41"/>
      <c r="D112" s="41"/>
      <c r="E112" s="41"/>
    </row>
    <row r="113" spans="1:5" x14ac:dyDescent="0.25">
      <c r="A113" s="41"/>
      <c r="B113" s="41"/>
      <c r="C113" s="41"/>
      <c r="D113" s="41"/>
      <c r="E113" s="41"/>
    </row>
    <row r="114" spans="1:5" x14ac:dyDescent="0.25">
      <c r="A114" s="41"/>
      <c r="B114" s="41"/>
      <c r="C114" s="41"/>
      <c r="D114" s="41"/>
      <c r="E114" s="41"/>
    </row>
    <row r="115" spans="1:5" x14ac:dyDescent="0.25">
      <c r="A115" s="41"/>
      <c r="B115" s="41"/>
      <c r="C115" s="41"/>
      <c r="D115" s="41"/>
      <c r="E115" s="41"/>
    </row>
    <row r="116" spans="1:5" x14ac:dyDescent="0.25">
      <c r="A116" s="41"/>
      <c r="B116" s="41"/>
      <c r="C116" s="41"/>
      <c r="D116" s="41"/>
      <c r="E116" s="41"/>
    </row>
    <row r="117" spans="1:5" x14ac:dyDescent="0.25">
      <c r="A117" s="41"/>
      <c r="B117" s="41"/>
      <c r="C117" s="41"/>
      <c r="D117" s="41"/>
      <c r="E117" s="41"/>
    </row>
    <row r="118" spans="1:5" x14ac:dyDescent="0.25">
      <c r="A118" s="41"/>
      <c r="B118" s="41"/>
      <c r="C118" s="41"/>
      <c r="D118" s="41"/>
      <c r="E118" s="41"/>
    </row>
    <row r="119" spans="1:5" x14ac:dyDescent="0.25">
      <c r="A119" s="41"/>
      <c r="B119" s="41"/>
      <c r="C119" s="41"/>
      <c r="D119" s="41"/>
      <c r="E119" s="41"/>
    </row>
    <row r="120" spans="1:5" x14ac:dyDescent="0.25">
      <c r="A120" s="41"/>
      <c r="B120" s="41"/>
      <c r="C120" s="41"/>
      <c r="D120" s="41"/>
      <c r="E120" s="41"/>
    </row>
    <row r="121" spans="1:5" x14ac:dyDescent="0.25">
      <c r="A121" s="41"/>
      <c r="B121" s="41"/>
      <c r="C121" s="41"/>
      <c r="D121" s="41"/>
      <c r="E121" s="41"/>
    </row>
    <row r="122" spans="1:5" x14ac:dyDescent="0.25">
      <c r="A122" s="41"/>
      <c r="B122" s="41"/>
      <c r="C122" s="41"/>
      <c r="D122" s="41"/>
      <c r="E122" s="41"/>
    </row>
    <row r="123" spans="1:5" x14ac:dyDescent="0.25">
      <c r="A123" s="41"/>
      <c r="B123" s="41"/>
      <c r="C123" s="41"/>
      <c r="D123" s="41"/>
      <c r="E123" s="41"/>
    </row>
    <row r="124" spans="1:5" x14ac:dyDescent="0.25">
      <c r="A124" s="41"/>
      <c r="B124" s="41"/>
      <c r="C124" s="41"/>
      <c r="D124" s="41"/>
      <c r="E124" s="41"/>
    </row>
    <row r="125" spans="1:5" x14ac:dyDescent="0.25">
      <c r="A125" s="41"/>
      <c r="B125" s="41"/>
      <c r="C125" s="41"/>
      <c r="D125" s="41"/>
      <c r="E125" s="41"/>
    </row>
    <row r="126" spans="1:5" x14ac:dyDescent="0.25">
      <c r="A126" s="41"/>
      <c r="B126" s="41"/>
      <c r="C126" s="41"/>
      <c r="D126" s="41"/>
      <c r="E126" s="41"/>
    </row>
    <row r="127" spans="1:5" x14ac:dyDescent="0.25">
      <c r="A127" s="41"/>
      <c r="B127" s="41"/>
      <c r="C127" s="41"/>
      <c r="D127" s="41"/>
      <c r="E127" s="41"/>
    </row>
    <row r="128" spans="1:5" x14ac:dyDescent="0.25">
      <c r="A128" s="41"/>
      <c r="B128" s="41"/>
      <c r="C128" s="41"/>
      <c r="D128" s="41"/>
      <c r="E128" s="41"/>
    </row>
    <row r="129" spans="1:5" x14ac:dyDescent="0.25">
      <c r="A129" s="41"/>
      <c r="B129" s="41"/>
      <c r="C129" s="41"/>
      <c r="D129" s="41"/>
      <c r="E129" s="41"/>
    </row>
    <row r="130" spans="1:5" x14ac:dyDescent="0.25">
      <c r="A130" s="41"/>
      <c r="B130" s="41"/>
      <c r="C130" s="41"/>
      <c r="D130" s="41"/>
      <c r="E130" s="41"/>
    </row>
    <row r="131" spans="1:5" x14ac:dyDescent="0.25">
      <c r="A131" s="41"/>
      <c r="B131" s="41"/>
      <c r="C131" s="41"/>
      <c r="D131" s="41"/>
      <c r="E131" s="41"/>
    </row>
    <row r="132" spans="1:5" x14ac:dyDescent="0.25">
      <c r="A132" s="41"/>
      <c r="B132" s="41"/>
      <c r="C132" s="41"/>
      <c r="D132" s="41"/>
      <c r="E132" s="41"/>
    </row>
    <row r="133" spans="1:5" x14ac:dyDescent="0.25">
      <c r="A133" s="41"/>
      <c r="B133" s="41"/>
      <c r="C133" s="41"/>
      <c r="D133" s="41"/>
      <c r="E133" s="41"/>
    </row>
    <row r="134" spans="1:5" x14ac:dyDescent="0.25">
      <c r="A134" s="41"/>
      <c r="B134" s="41"/>
      <c r="C134" s="41"/>
      <c r="D134" s="41"/>
      <c r="E134" s="41"/>
    </row>
    <row r="135" spans="1:5" x14ac:dyDescent="0.25">
      <c r="A135" s="41"/>
      <c r="B135" s="41"/>
      <c r="C135" s="41"/>
      <c r="D135" s="41"/>
      <c r="E135" s="41"/>
    </row>
    <row r="136" spans="1:5" x14ac:dyDescent="0.25">
      <c r="A136" s="41"/>
      <c r="B136" s="41"/>
      <c r="C136" s="41"/>
      <c r="D136" s="41"/>
      <c r="E136" s="41"/>
    </row>
    <row r="137" spans="1:5" x14ac:dyDescent="0.25">
      <c r="A137" s="41"/>
      <c r="B137" s="41"/>
      <c r="C137" s="41"/>
      <c r="D137" s="41"/>
      <c r="E137" s="41"/>
    </row>
    <row r="138" spans="1:5" x14ac:dyDescent="0.25">
      <c r="A138" s="41"/>
      <c r="B138" s="41"/>
      <c r="C138" s="41"/>
      <c r="D138" s="41"/>
      <c r="E138" s="41"/>
    </row>
    <row r="140" spans="1:5" x14ac:dyDescent="0.25">
      <c r="A140" s="41"/>
      <c r="B140" s="41"/>
      <c r="C140" s="41"/>
      <c r="D140" s="41"/>
      <c r="E140" s="41"/>
    </row>
    <row r="141" spans="1:5" x14ac:dyDescent="0.25">
      <c r="A141" s="41"/>
      <c r="B141" s="41"/>
      <c r="C141" s="41"/>
      <c r="D141" s="41"/>
      <c r="E141" s="41"/>
    </row>
    <row r="143" spans="1:5" x14ac:dyDescent="0.25">
      <c r="A143" s="41"/>
      <c r="B143" s="41"/>
      <c r="C143" s="41"/>
      <c r="D143" s="41"/>
      <c r="E143" s="41"/>
    </row>
    <row r="144" spans="1:5" x14ac:dyDescent="0.25">
      <c r="A144" s="41"/>
      <c r="B144" s="41"/>
      <c r="C144" s="41"/>
      <c r="D144" s="41"/>
      <c r="E144" s="41"/>
    </row>
    <row r="146" spans="1:5" x14ac:dyDescent="0.25">
      <c r="A146" s="41"/>
      <c r="B146" s="41"/>
      <c r="C146" s="41"/>
      <c r="D146" s="41"/>
      <c r="E146" s="41"/>
    </row>
    <row r="147" spans="1:5" x14ac:dyDescent="0.25">
      <c r="A147" s="41"/>
      <c r="B147" s="41"/>
      <c r="C147" s="41"/>
      <c r="D147" s="41"/>
      <c r="E147" s="41"/>
    </row>
    <row r="149" spans="1:5" x14ac:dyDescent="0.25">
      <c r="A149" s="41"/>
      <c r="B149" s="41"/>
      <c r="C149" s="41"/>
      <c r="D149" s="41"/>
      <c r="E149" s="41"/>
    </row>
    <row r="150" spans="1:5" x14ac:dyDescent="0.25">
      <c r="A150" s="41"/>
      <c r="B150" s="41"/>
      <c r="C150" s="41"/>
      <c r="D150" s="41"/>
      <c r="E150" s="41"/>
    </row>
    <row r="152" spans="1:5" x14ac:dyDescent="0.25">
      <c r="A152" s="41"/>
      <c r="B152" s="41"/>
      <c r="C152" s="41"/>
      <c r="D152" s="41"/>
      <c r="E152" s="41"/>
    </row>
    <row r="153" spans="1:5" x14ac:dyDescent="0.25">
      <c r="A153" s="41"/>
      <c r="B153" s="41"/>
      <c r="C153" s="41"/>
      <c r="D153" s="41"/>
      <c r="E153" s="41"/>
    </row>
    <row r="158" spans="1:5" x14ac:dyDescent="0.25">
      <c r="A158" s="41"/>
      <c r="B158" s="41"/>
      <c r="C158" s="41"/>
      <c r="D158" s="41"/>
      <c r="E158" s="41"/>
    </row>
    <row r="159" spans="1:5" x14ac:dyDescent="0.25">
      <c r="A159" s="41"/>
      <c r="B159" s="41"/>
      <c r="C159" s="41"/>
      <c r="D159" s="41"/>
      <c r="E159" s="41"/>
    </row>
    <row r="161" spans="1:5" x14ac:dyDescent="0.25">
      <c r="A161" s="41"/>
      <c r="B161" s="41"/>
      <c r="C161" s="41"/>
      <c r="D161" s="41"/>
      <c r="E161" s="41"/>
    </row>
    <row r="162" spans="1:5" x14ac:dyDescent="0.25">
      <c r="A162" s="41"/>
      <c r="B162" s="41"/>
      <c r="C162" s="41"/>
      <c r="D162" s="41"/>
      <c r="E162" s="41"/>
    </row>
    <row r="164" spans="1:5" x14ac:dyDescent="0.25">
      <c r="A164" s="41"/>
      <c r="B164" s="41"/>
      <c r="C164" s="41"/>
      <c r="D164" s="41"/>
      <c r="E164" s="41"/>
    </row>
    <row r="165" spans="1:5" x14ac:dyDescent="0.25">
      <c r="A165" s="41"/>
      <c r="B165" s="41"/>
      <c r="C165" s="41"/>
      <c r="D165" s="41"/>
      <c r="E165" s="41"/>
    </row>
    <row r="167" spans="1:5" x14ac:dyDescent="0.25">
      <c r="A167" s="41"/>
      <c r="B167" s="41"/>
      <c r="C167" s="41"/>
      <c r="D167" s="41"/>
      <c r="E167" s="41"/>
    </row>
    <row r="168" spans="1:5" x14ac:dyDescent="0.25">
      <c r="A168" s="41"/>
      <c r="B168" s="41"/>
      <c r="C168" s="41"/>
      <c r="D168" s="41"/>
      <c r="E168" s="41"/>
    </row>
  </sheetData>
  <mergeCells count="79">
    <mergeCell ref="BI42:BI46"/>
    <mergeCell ref="BJ42:BJ46"/>
    <mergeCell ref="BK42:BL42"/>
    <mergeCell ref="BM42:BN42"/>
    <mergeCell ref="BO42:BO46"/>
    <mergeCell ref="BA42:BB42"/>
    <mergeCell ref="BC42:BC46"/>
    <mergeCell ref="BD42:BD46"/>
    <mergeCell ref="BE42:BF42"/>
    <mergeCell ref="BG42:BH42"/>
    <mergeCell ref="AS42:AT42"/>
    <mergeCell ref="AU42:AV42"/>
    <mergeCell ref="AW42:AW46"/>
    <mergeCell ref="AX42:AX46"/>
    <mergeCell ref="AY42:AZ42"/>
    <mergeCell ref="AL42:AL46"/>
    <mergeCell ref="AM42:AN42"/>
    <mergeCell ref="AO42:AP42"/>
    <mergeCell ref="AQ42:AQ46"/>
    <mergeCell ref="AR42:AR46"/>
    <mergeCell ref="BO37:BO40"/>
    <mergeCell ref="AN41:AP41"/>
    <mergeCell ref="AT41:AV41"/>
    <mergeCell ref="AZ41:BB41"/>
    <mergeCell ref="BF41:BH41"/>
    <mergeCell ref="BL41:BN41"/>
    <mergeCell ref="W38:Y38"/>
    <mergeCell ref="Q38:S38"/>
    <mergeCell ref="T38:V38"/>
    <mergeCell ref="Z6:Z8"/>
    <mergeCell ref="Z9:Z11"/>
    <mergeCell ref="Y6:Y11"/>
    <mergeCell ref="Y12:Y14"/>
    <mergeCell ref="Z12:Z13"/>
    <mergeCell ref="Z20:Z21"/>
    <mergeCell ref="Z22:Z23"/>
    <mergeCell ref="Z24:Z26"/>
    <mergeCell ref="Z27:Z28"/>
    <mergeCell ref="X6:X28"/>
    <mergeCell ref="Y15:Y21"/>
    <mergeCell ref="Y22:Y28"/>
    <mergeCell ref="AC6:AC8"/>
    <mergeCell ref="AC9:AC11"/>
    <mergeCell ref="AC12:AC14"/>
    <mergeCell ref="Z15:Z16"/>
    <mergeCell ref="Z17:Z19"/>
    <mergeCell ref="AC15:AC21"/>
    <mergeCell ref="AC22:AC28"/>
    <mergeCell ref="BU37:BU40"/>
    <mergeCell ref="BR41:BT41"/>
    <mergeCell ref="BP42:BP46"/>
    <mergeCell ref="BQ42:BR42"/>
    <mergeCell ref="BS42:BT42"/>
    <mergeCell ref="BU42:BU46"/>
    <mergeCell ref="AL37:AL40"/>
    <mergeCell ref="AQ37:AQ40"/>
    <mergeCell ref="AR37:AR40"/>
    <mergeCell ref="AW37:AW40"/>
    <mergeCell ref="AX37:AX40"/>
    <mergeCell ref="BC37:BC40"/>
    <mergeCell ref="BD37:BD40"/>
    <mergeCell ref="BI37:BI40"/>
    <mergeCell ref="BJ37:BJ40"/>
    <mergeCell ref="AL3:CG3"/>
    <mergeCell ref="CB37:CB40"/>
    <mergeCell ref="CG37:CG40"/>
    <mergeCell ref="CD41:CF41"/>
    <mergeCell ref="CB42:CB46"/>
    <mergeCell ref="CC42:CD42"/>
    <mergeCell ref="CE42:CF42"/>
    <mergeCell ref="CG42:CG46"/>
    <mergeCell ref="BV37:BV40"/>
    <mergeCell ref="CA37:CA40"/>
    <mergeCell ref="BX41:BZ41"/>
    <mergeCell ref="BV42:BV46"/>
    <mergeCell ref="BW42:BX42"/>
    <mergeCell ref="BY42:BZ42"/>
    <mergeCell ref="CA42:CA46"/>
    <mergeCell ref="BP37:BP40"/>
  </mergeCells>
  <conditionalFormatting sqref="M7:M36">
    <cfRule type="containsText" dxfId="17" priority="12" operator="containsText" text="Loại">
      <formula>NOT(ISERROR(SEARCH("Loại",M7)))</formula>
    </cfRule>
    <cfRule type="containsText" dxfId="16" priority="13" operator="containsText" text="Loại">
      <formula>NOT(ISERROR(SEARCH("Loại",M7)))</formula>
    </cfRule>
    <cfRule type="containsText" dxfId="15" priority="16" operator="containsText" text="Loại">
      <formula>NOT(ISERROR(SEARCH("Loại",M7)))</formula>
    </cfRule>
  </conditionalFormatting>
  <conditionalFormatting sqref="P7 P13:P36">
    <cfRule type="containsText" dxfId="14" priority="15" operator="containsText" text="Loại">
      <formula>NOT(ISERROR(SEARCH("Loại",P7)))</formula>
    </cfRule>
  </conditionalFormatting>
  <conditionalFormatting sqref="N7 N13:N36">
    <cfRule type="top10" dxfId="13" priority="11" percent="1" rank="10"/>
  </conditionalFormatting>
  <conditionalFormatting sqref="Q7:Q36">
    <cfRule type="top10" dxfId="12" priority="10" percent="1" rank="10"/>
  </conditionalFormatting>
  <conditionalFormatting sqref="S7:S36">
    <cfRule type="containsText" dxfId="11" priority="9" operator="containsText" text="Loại">
      <formula>NOT(ISERROR(SEARCH("Loại",S7)))</formula>
    </cfRule>
  </conditionalFormatting>
  <conditionalFormatting sqref="T7:T36">
    <cfRule type="top10" dxfId="10" priority="8" percent="1" rank="10"/>
  </conditionalFormatting>
  <conditionalFormatting sqref="Y12 Y15 Y22 Y29:Y36">
    <cfRule type="containsText" dxfId="9" priority="5" operator="containsText" text="Loại">
      <formula>NOT(ISERROR(SEARCH("Loại",Y12)))</formula>
    </cfRule>
  </conditionalFormatting>
  <conditionalFormatting sqref="V7:V36">
    <cfRule type="containsText" dxfId="8" priority="7" operator="containsText" text="Loại">
      <formula>NOT(ISERROR(SEARCH("Loại",V7)))</formula>
    </cfRule>
  </conditionalFormatting>
  <conditionalFormatting sqref="W7:W36">
    <cfRule type="top10" dxfId="7" priority="6" percent="1" rank="10"/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4" r:id="rId4" name="ButtonThongke2">
          <controlPr defaultSize="0" autoLine="0" r:id="rId5">
            <anchor moveWithCells="1">
              <from>
                <xdr:col>4</xdr:col>
                <xdr:colOff>495300</xdr:colOff>
                <xdr:row>1</xdr:row>
                <xdr:rowOff>47625</xdr:rowOff>
              </from>
              <to>
                <xdr:col>6</xdr:col>
                <xdr:colOff>266700</xdr:colOff>
                <xdr:row>3</xdr:row>
                <xdr:rowOff>19050</xdr:rowOff>
              </to>
            </anchor>
          </controlPr>
        </control>
      </mc:Choice>
      <mc:Fallback>
        <control shapeId="1034" r:id="rId4" name="ButtonThongke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text="Loai" id="{7338CD59-677F-4FDE-A284-808F7CC3EB1A}">
            <xm:f>NOT(ISERROR(SEARCH("Loai",Thongke1!AQ3)))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AQ6:AQ36 AW6:AW36 BC6:BC36 BI6:BI36 BO6:BO36 BU6:BU36 CA6:CA36 CG6:CG36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AC115"/>
  <sheetViews>
    <sheetView zoomScale="75" zoomScaleNormal="75" workbookViewId="0">
      <selection activeCell="K26" sqref="K26"/>
    </sheetView>
  </sheetViews>
  <sheetFormatPr defaultRowHeight="15" x14ac:dyDescent="0.25"/>
  <cols>
    <col min="1" max="1" width="7" style="42" bestFit="1" customWidth="1"/>
    <col min="2" max="2" width="15.875" style="42" customWidth="1"/>
    <col min="3" max="3" width="7.625" style="42" customWidth="1"/>
    <col min="4" max="4" width="14.75" style="81" bestFit="1" customWidth="1"/>
    <col min="5" max="6" width="11.875" style="42" bestFit="1" customWidth="1"/>
    <col min="7" max="7" width="13.625" style="42" bestFit="1" customWidth="1"/>
    <col min="8" max="8" width="12" style="42" bestFit="1" customWidth="1"/>
    <col min="9" max="9" width="13.625" style="42" bestFit="1" customWidth="1"/>
    <col min="10" max="10" width="11.125" style="42" customWidth="1"/>
    <col min="11" max="13" width="13.75" style="42" bestFit="1" customWidth="1"/>
    <col min="14" max="14" width="13.75" style="42" customWidth="1"/>
    <col min="15" max="15" width="11.625" style="42" bestFit="1" customWidth="1"/>
    <col min="16" max="17" width="9" style="42"/>
    <col min="18" max="19" width="13.625" style="42" bestFit="1" customWidth="1"/>
    <col min="20" max="21" width="13.75" style="42" bestFit="1" customWidth="1"/>
    <col min="22" max="23" width="11.625" style="42" bestFit="1" customWidth="1"/>
    <col min="24" max="24" width="11.75" style="42" customWidth="1"/>
    <col min="25" max="25" width="15.125" style="42" bestFit="1" customWidth="1"/>
    <col min="26" max="26" width="13.625" style="42" bestFit="1" customWidth="1"/>
    <col min="27" max="27" width="11.5" style="42" bestFit="1" customWidth="1"/>
    <col min="28" max="28" width="13.625" style="42" bestFit="1" customWidth="1"/>
    <col min="29" max="29" width="11.5" style="42" customWidth="1"/>
    <col min="30" max="16384" width="9" style="42"/>
  </cols>
  <sheetData>
    <row r="1" spans="1:29" x14ac:dyDescent="0.25">
      <c r="A1" s="439" t="s">
        <v>29</v>
      </c>
      <c r="B1" s="442"/>
      <c r="C1" s="183"/>
      <c r="D1" s="184" t="s">
        <v>3</v>
      </c>
      <c r="E1" s="436" t="s">
        <v>102</v>
      </c>
      <c r="F1" s="436"/>
      <c r="G1" s="436"/>
      <c r="H1" s="184" t="s">
        <v>103</v>
      </c>
      <c r="I1" s="184" t="s">
        <v>104</v>
      </c>
      <c r="J1" s="184" t="s">
        <v>36</v>
      </c>
      <c r="K1" s="184" t="s">
        <v>105</v>
      </c>
      <c r="L1" s="436" t="s">
        <v>106</v>
      </c>
      <c r="M1" s="436"/>
      <c r="N1" s="436"/>
      <c r="O1" s="184" t="s">
        <v>107</v>
      </c>
      <c r="P1" s="436" t="s">
        <v>108</v>
      </c>
      <c r="Q1" s="436"/>
      <c r="R1" s="436"/>
      <c r="S1" s="436"/>
      <c r="T1" s="436"/>
      <c r="U1" s="436"/>
      <c r="V1" s="184" t="s">
        <v>109</v>
      </c>
      <c r="W1" s="184" t="s">
        <v>110</v>
      </c>
      <c r="X1" s="184" t="s">
        <v>111</v>
      </c>
      <c r="Y1" s="184" t="s">
        <v>112</v>
      </c>
      <c r="Z1" s="185" t="s">
        <v>113</v>
      </c>
      <c r="AA1" s="436" t="s">
        <v>146</v>
      </c>
      <c r="AB1" s="436"/>
      <c r="AC1" s="437"/>
    </row>
    <row r="2" spans="1:29" x14ac:dyDescent="0.25">
      <c r="A2" s="440"/>
      <c r="B2" s="443"/>
      <c r="C2" s="186"/>
      <c r="D2" s="46" t="s">
        <v>97</v>
      </c>
      <c r="E2" s="46" t="s">
        <v>114</v>
      </c>
      <c r="F2" s="46" t="s">
        <v>115</v>
      </c>
      <c r="G2" s="46" t="s">
        <v>116</v>
      </c>
      <c r="H2" s="46"/>
      <c r="I2" s="46" t="s">
        <v>97</v>
      </c>
      <c r="J2" s="46"/>
      <c r="K2" s="46" t="s">
        <v>97</v>
      </c>
      <c r="L2" s="46"/>
      <c r="M2" s="46"/>
      <c r="N2" s="46"/>
      <c r="O2" s="46"/>
      <c r="P2" s="438" t="s">
        <v>117</v>
      </c>
      <c r="Q2" s="438"/>
      <c r="R2" s="438"/>
      <c r="S2" s="438"/>
      <c r="T2" s="438"/>
      <c r="U2" s="438"/>
      <c r="V2" s="46" t="s">
        <v>118</v>
      </c>
      <c r="W2" s="46"/>
      <c r="X2" s="46" t="s">
        <v>119</v>
      </c>
      <c r="Y2" s="46" t="s">
        <v>120</v>
      </c>
      <c r="Z2" s="187"/>
      <c r="AA2" s="46" t="s">
        <v>118</v>
      </c>
      <c r="AB2" s="46" t="s">
        <v>149</v>
      </c>
      <c r="AC2" s="188"/>
    </row>
    <row r="3" spans="1:29" ht="18.75" thickBot="1" x14ac:dyDescent="0.4">
      <c r="A3" s="441"/>
      <c r="B3" s="444"/>
      <c r="C3" s="189"/>
      <c r="D3" s="190" t="s">
        <v>80</v>
      </c>
      <c r="E3" s="191" t="s">
        <v>121</v>
      </c>
      <c r="F3" s="191" t="s">
        <v>122</v>
      </c>
      <c r="G3" s="191" t="s">
        <v>123</v>
      </c>
      <c r="H3" s="192" t="s">
        <v>124</v>
      </c>
      <c r="I3" s="192" t="s">
        <v>24</v>
      </c>
      <c r="J3" s="192" t="s">
        <v>2</v>
      </c>
      <c r="K3" s="192" t="s">
        <v>125</v>
      </c>
      <c r="L3" s="190" t="s">
        <v>126</v>
      </c>
      <c r="M3" s="190" t="s">
        <v>127</v>
      </c>
      <c r="N3" s="190" t="s">
        <v>128</v>
      </c>
      <c r="O3" s="190" t="s">
        <v>129</v>
      </c>
      <c r="P3" s="190">
        <v>19.100000000000001</v>
      </c>
      <c r="Q3" s="190">
        <v>4.76</v>
      </c>
      <c r="R3" s="190">
        <v>2</v>
      </c>
      <c r="S3" s="190">
        <v>0.42</v>
      </c>
      <c r="T3" s="190">
        <v>7.3999999999999996E-2</v>
      </c>
      <c r="U3" s="190">
        <v>2E-3</v>
      </c>
      <c r="V3" s="190" t="s">
        <v>130</v>
      </c>
      <c r="W3" s="190" t="s">
        <v>131</v>
      </c>
      <c r="X3" s="190" t="s">
        <v>132</v>
      </c>
      <c r="Y3" s="190" t="s">
        <v>133</v>
      </c>
      <c r="Z3" s="193" t="s">
        <v>134</v>
      </c>
      <c r="AA3" s="190" t="s">
        <v>147</v>
      </c>
      <c r="AB3" s="194" t="s">
        <v>148</v>
      </c>
      <c r="AC3" s="195" t="s">
        <v>171</v>
      </c>
    </row>
    <row r="4" spans="1:29" x14ac:dyDescent="0.25">
      <c r="A4" s="196"/>
      <c r="B4" s="435" t="s">
        <v>30</v>
      </c>
      <c r="C4" s="197" t="s">
        <v>24</v>
      </c>
      <c r="D4" s="198">
        <v>1</v>
      </c>
      <c r="E4" s="198">
        <v>1</v>
      </c>
      <c r="F4" s="198">
        <v>1</v>
      </c>
      <c r="G4" s="198">
        <v>1</v>
      </c>
      <c r="H4" s="198">
        <v>1</v>
      </c>
      <c r="I4" s="198">
        <v>1</v>
      </c>
      <c r="J4" s="198">
        <v>1</v>
      </c>
      <c r="K4" s="198">
        <v>1</v>
      </c>
      <c r="L4" s="198">
        <v>0</v>
      </c>
      <c r="M4" s="198">
        <v>0</v>
      </c>
      <c r="N4" s="198">
        <v>0</v>
      </c>
      <c r="O4" s="198">
        <v>0</v>
      </c>
      <c r="P4" s="198">
        <v>0</v>
      </c>
      <c r="Q4" s="198">
        <v>0</v>
      </c>
      <c r="R4" s="198">
        <v>1</v>
      </c>
      <c r="S4" s="198">
        <v>1</v>
      </c>
      <c r="T4" s="198">
        <v>1</v>
      </c>
      <c r="U4" s="198">
        <v>0</v>
      </c>
      <c r="V4" s="198">
        <v>0</v>
      </c>
      <c r="W4" s="198">
        <v>0</v>
      </c>
      <c r="X4" s="198">
        <v>0</v>
      </c>
      <c r="Y4" s="198">
        <v>0</v>
      </c>
      <c r="Z4" s="198">
        <v>1</v>
      </c>
      <c r="AA4" s="198">
        <v>3</v>
      </c>
      <c r="AB4" s="198">
        <v>3</v>
      </c>
      <c r="AC4" s="112">
        <v>3</v>
      </c>
    </row>
    <row r="5" spans="1:29" x14ac:dyDescent="0.25">
      <c r="A5" s="199"/>
      <c r="B5" s="416"/>
      <c r="C5" s="98" t="s">
        <v>40</v>
      </c>
      <c r="D5" s="200" t="s">
        <v>167</v>
      </c>
      <c r="E5" s="200" t="s">
        <v>167</v>
      </c>
      <c r="F5" s="200" t="s">
        <v>167</v>
      </c>
      <c r="G5" s="200" t="s">
        <v>167</v>
      </c>
      <c r="H5" s="200" t="s">
        <v>167</v>
      </c>
      <c r="I5" s="200" t="s">
        <v>167</v>
      </c>
      <c r="J5" s="200" t="s">
        <v>167</v>
      </c>
      <c r="K5" s="200" t="s">
        <v>167</v>
      </c>
      <c r="L5" s="200" t="s">
        <v>167</v>
      </c>
      <c r="M5" s="200" t="s">
        <v>167</v>
      </c>
      <c r="N5" s="200" t="s">
        <v>167</v>
      </c>
      <c r="O5" s="200" t="s">
        <v>167</v>
      </c>
      <c r="P5" s="200" t="s">
        <v>167</v>
      </c>
      <c r="Q5" s="200" t="s">
        <v>167</v>
      </c>
      <c r="R5" s="200" t="s">
        <v>167</v>
      </c>
      <c r="S5" s="200" t="s">
        <v>167</v>
      </c>
      <c r="T5" s="200" t="s">
        <v>167</v>
      </c>
      <c r="U5" s="200" t="s">
        <v>167</v>
      </c>
      <c r="V5" s="200" t="s">
        <v>167</v>
      </c>
      <c r="W5" s="200" t="s">
        <v>167</v>
      </c>
      <c r="X5" s="200" t="s">
        <v>167</v>
      </c>
      <c r="Y5" s="200" t="s">
        <v>167</v>
      </c>
      <c r="Z5" s="200" t="s">
        <v>167</v>
      </c>
      <c r="AA5" s="146">
        <v>6.2360956446225722E-4</v>
      </c>
      <c r="AB5" s="146"/>
      <c r="AC5" s="147">
        <v>2.8867513459478216E-4</v>
      </c>
    </row>
    <row r="6" spans="1:29" x14ac:dyDescent="0.25">
      <c r="A6" s="199"/>
      <c r="B6" s="416"/>
      <c r="C6" s="98" t="s">
        <v>25</v>
      </c>
      <c r="D6" s="200" t="s">
        <v>167</v>
      </c>
      <c r="E6" s="200" t="s">
        <v>167</v>
      </c>
      <c r="F6" s="200" t="s">
        <v>167</v>
      </c>
      <c r="G6" s="200" t="s">
        <v>167</v>
      </c>
      <c r="H6" s="200" t="s">
        <v>167</v>
      </c>
      <c r="I6" s="200" t="s">
        <v>167</v>
      </c>
      <c r="J6" s="200" t="s">
        <v>167</v>
      </c>
      <c r="K6" s="200" t="s">
        <v>167</v>
      </c>
      <c r="L6" s="200" t="s">
        <v>167</v>
      </c>
      <c r="M6" s="200" t="s">
        <v>167</v>
      </c>
      <c r="N6" s="200" t="s">
        <v>167</v>
      </c>
      <c r="O6" s="200" t="s">
        <v>167</v>
      </c>
      <c r="P6" s="200" t="s">
        <v>167</v>
      </c>
      <c r="Q6" s="200" t="s">
        <v>167</v>
      </c>
      <c r="R6" s="200" t="s">
        <v>167</v>
      </c>
      <c r="S6" s="200" t="s">
        <v>167</v>
      </c>
      <c r="T6" s="200" t="s">
        <v>167</v>
      </c>
      <c r="U6" s="200" t="s">
        <v>167</v>
      </c>
      <c r="V6" s="200" t="s">
        <v>167</v>
      </c>
      <c r="W6" s="200" t="s">
        <v>167</v>
      </c>
      <c r="X6" s="200" t="s">
        <v>167</v>
      </c>
      <c r="Y6" s="200" t="s">
        <v>167</v>
      </c>
      <c r="Z6" s="200" t="s">
        <v>167</v>
      </c>
      <c r="AA6" s="146">
        <v>0.26726124191241268</v>
      </c>
      <c r="AB6" s="146"/>
      <c r="AC6" s="147">
        <v>6.4798010010052112E-4</v>
      </c>
    </row>
    <row r="7" spans="1:29" x14ac:dyDescent="0.25">
      <c r="A7" s="199"/>
      <c r="B7" s="416"/>
      <c r="C7" s="201" t="s">
        <v>55</v>
      </c>
      <c r="D7" s="202">
        <v>0.15</v>
      </c>
      <c r="E7" s="202">
        <v>0.05</v>
      </c>
      <c r="F7" s="202">
        <v>0.05</v>
      </c>
      <c r="G7" s="202">
        <v>0.05</v>
      </c>
      <c r="H7" s="202" t="s">
        <v>167</v>
      </c>
      <c r="I7" s="202" t="s">
        <v>167</v>
      </c>
      <c r="J7" s="202" t="s">
        <v>167</v>
      </c>
      <c r="K7" s="202" t="s">
        <v>167</v>
      </c>
      <c r="L7" s="202">
        <v>0.3</v>
      </c>
      <c r="M7" s="202">
        <v>0.3</v>
      </c>
      <c r="N7" s="202">
        <v>0.3</v>
      </c>
      <c r="O7" s="202" t="s">
        <v>167</v>
      </c>
      <c r="P7" s="202" t="s">
        <v>167</v>
      </c>
      <c r="Q7" s="202" t="s">
        <v>167</v>
      </c>
      <c r="R7" s="202" t="s">
        <v>167</v>
      </c>
      <c r="S7" s="202" t="s">
        <v>167</v>
      </c>
      <c r="T7" s="202" t="s">
        <v>167</v>
      </c>
      <c r="U7" s="202" t="s">
        <v>167</v>
      </c>
      <c r="V7" s="202">
        <v>0.4</v>
      </c>
      <c r="W7" s="202" t="s">
        <v>167</v>
      </c>
      <c r="X7" s="202" t="s">
        <v>167</v>
      </c>
      <c r="Y7" s="202">
        <v>0.3</v>
      </c>
      <c r="Z7" s="202" t="s">
        <v>167</v>
      </c>
      <c r="AA7" s="203">
        <v>0.3</v>
      </c>
      <c r="AB7" s="203">
        <v>0.3</v>
      </c>
      <c r="AC7" s="204">
        <v>0.3</v>
      </c>
    </row>
    <row r="8" spans="1:29" x14ac:dyDescent="0.25">
      <c r="A8" s="199"/>
      <c r="B8" s="416"/>
      <c r="C8" s="205" t="s">
        <v>164</v>
      </c>
      <c r="D8" s="200" t="s">
        <v>169</v>
      </c>
      <c r="E8" s="200" t="s">
        <v>169</v>
      </c>
      <c r="F8" s="200" t="s">
        <v>169</v>
      </c>
      <c r="G8" s="200" t="s">
        <v>169</v>
      </c>
      <c r="H8" s="200" t="s">
        <v>169</v>
      </c>
      <c r="I8" s="200" t="s">
        <v>169</v>
      </c>
      <c r="J8" s="200" t="s">
        <v>169</v>
      </c>
      <c r="K8" s="200" t="s">
        <v>169</v>
      </c>
      <c r="L8" s="200" t="s">
        <v>169</v>
      </c>
      <c r="M8" s="200" t="s">
        <v>169</v>
      </c>
      <c r="N8" s="200" t="s">
        <v>169</v>
      </c>
      <c r="O8" s="200" t="s">
        <v>169</v>
      </c>
      <c r="P8" s="200" t="s">
        <v>169</v>
      </c>
      <c r="Q8" s="200" t="s">
        <v>169</v>
      </c>
      <c r="R8" s="200" t="s">
        <v>169</v>
      </c>
      <c r="S8" s="200" t="s">
        <v>169</v>
      </c>
      <c r="T8" s="200" t="s">
        <v>169</v>
      </c>
      <c r="U8" s="200" t="s">
        <v>169</v>
      </c>
      <c r="V8" s="200" t="s">
        <v>169</v>
      </c>
      <c r="W8" s="200" t="s">
        <v>169</v>
      </c>
      <c r="X8" s="200" t="s">
        <v>169</v>
      </c>
      <c r="Y8" s="200" t="s">
        <v>169</v>
      </c>
      <c r="Z8" s="200" t="s">
        <v>169</v>
      </c>
      <c r="AA8" s="146" t="s">
        <v>166</v>
      </c>
      <c r="AB8" s="146" t="s">
        <v>169</v>
      </c>
      <c r="AC8" s="147" t="s">
        <v>166</v>
      </c>
    </row>
    <row r="9" spans="1:29" x14ac:dyDescent="0.25">
      <c r="A9" s="199"/>
      <c r="B9" s="148" t="s">
        <v>31</v>
      </c>
      <c r="C9" s="205" t="s">
        <v>163</v>
      </c>
      <c r="D9" s="200">
        <v>28.8</v>
      </c>
      <c r="E9" s="200">
        <v>1.8320000000000001</v>
      </c>
      <c r="F9" s="200">
        <v>1.4219999999999999</v>
      </c>
      <c r="G9" s="200">
        <v>0.88900000000000001</v>
      </c>
      <c r="H9" s="200">
        <v>2.6680000000000001</v>
      </c>
      <c r="I9" s="200">
        <v>46.7</v>
      </c>
      <c r="J9" s="200">
        <v>0.876</v>
      </c>
      <c r="K9" s="200">
        <v>87.7</v>
      </c>
      <c r="L9" s="200" t="s">
        <v>167</v>
      </c>
      <c r="M9" s="200" t="s">
        <v>167</v>
      </c>
      <c r="N9" s="200" t="s">
        <v>167</v>
      </c>
      <c r="O9" s="200" t="s">
        <v>167</v>
      </c>
      <c r="P9" s="200" t="s">
        <v>167</v>
      </c>
      <c r="Q9" s="200" t="s">
        <v>167</v>
      </c>
      <c r="R9" s="200">
        <v>100</v>
      </c>
      <c r="S9" s="200">
        <v>74</v>
      </c>
      <c r="T9" s="200">
        <v>3</v>
      </c>
      <c r="U9" s="200" t="s">
        <v>167</v>
      </c>
      <c r="V9" s="200" t="s">
        <v>167</v>
      </c>
      <c r="W9" s="200" t="s">
        <v>167</v>
      </c>
      <c r="X9" s="200" t="s">
        <v>167</v>
      </c>
      <c r="Y9" s="200" t="s">
        <v>167</v>
      </c>
      <c r="Z9" s="200">
        <v>2</v>
      </c>
      <c r="AA9" s="146">
        <v>2.3333333333331874E-3</v>
      </c>
      <c r="AB9" s="146" t="s">
        <v>313</v>
      </c>
      <c r="AC9" s="147">
        <v>0.44550000000000001</v>
      </c>
    </row>
    <row r="10" spans="1:29" x14ac:dyDescent="0.25">
      <c r="A10" s="199"/>
      <c r="B10" s="416" t="s">
        <v>72</v>
      </c>
      <c r="C10" s="205" t="s">
        <v>160</v>
      </c>
      <c r="D10" s="200" t="s">
        <v>169</v>
      </c>
      <c r="E10" s="200" t="s">
        <v>167</v>
      </c>
      <c r="F10" s="200" t="s">
        <v>167</v>
      </c>
      <c r="G10" s="200" t="s">
        <v>167</v>
      </c>
      <c r="H10" s="200" t="s">
        <v>169</v>
      </c>
      <c r="I10" s="200" t="s">
        <v>169</v>
      </c>
      <c r="J10" s="200" t="s">
        <v>169</v>
      </c>
      <c r="K10" s="200" t="s">
        <v>169</v>
      </c>
      <c r="L10" s="200" t="s">
        <v>169</v>
      </c>
      <c r="M10" s="200" t="s">
        <v>169</v>
      </c>
      <c r="N10" s="200" t="s">
        <v>169</v>
      </c>
      <c r="O10" s="200" t="s">
        <v>169</v>
      </c>
      <c r="P10" s="200" t="s">
        <v>169</v>
      </c>
      <c r="Q10" s="200" t="s">
        <v>169</v>
      </c>
      <c r="R10" s="200" t="s">
        <v>169</v>
      </c>
      <c r="S10" s="200" t="s">
        <v>169</v>
      </c>
      <c r="T10" s="200" t="s">
        <v>169</v>
      </c>
      <c r="U10" s="200" t="s">
        <v>169</v>
      </c>
      <c r="V10" s="200" t="s">
        <v>169</v>
      </c>
      <c r="W10" s="200" t="s">
        <v>169</v>
      </c>
      <c r="X10" s="200" t="s">
        <v>169</v>
      </c>
      <c r="Y10" s="200" t="s">
        <v>169</v>
      </c>
      <c r="Z10" s="200" t="s">
        <v>169</v>
      </c>
      <c r="AA10" s="146">
        <v>0.95</v>
      </c>
      <c r="AB10" s="146"/>
      <c r="AC10" s="147">
        <v>0.95</v>
      </c>
    </row>
    <row r="11" spans="1:29" x14ac:dyDescent="0.25">
      <c r="A11" s="199">
        <v>1</v>
      </c>
      <c r="B11" s="416"/>
      <c r="C11" s="205" t="s">
        <v>161</v>
      </c>
      <c r="D11" s="200" t="s">
        <v>169</v>
      </c>
      <c r="E11" s="200" t="s">
        <v>167</v>
      </c>
      <c r="F11" s="200" t="s">
        <v>167</v>
      </c>
      <c r="G11" s="200" t="s">
        <v>167</v>
      </c>
      <c r="H11" s="200" t="s">
        <v>169</v>
      </c>
      <c r="I11" s="200" t="s">
        <v>169</v>
      </c>
      <c r="J11" s="200" t="s">
        <v>169</v>
      </c>
      <c r="K11" s="200" t="s">
        <v>169</v>
      </c>
      <c r="L11" s="200" t="s">
        <v>169</v>
      </c>
      <c r="M11" s="200" t="s">
        <v>169</v>
      </c>
      <c r="N11" s="200" t="s">
        <v>169</v>
      </c>
      <c r="O11" s="200" t="s">
        <v>169</v>
      </c>
      <c r="P11" s="200" t="s">
        <v>169</v>
      </c>
      <c r="Q11" s="200" t="s">
        <v>169</v>
      </c>
      <c r="R11" s="200" t="s">
        <v>169</v>
      </c>
      <c r="S11" s="200" t="s">
        <v>169</v>
      </c>
      <c r="T11" s="200" t="s">
        <v>169</v>
      </c>
      <c r="U11" s="200" t="s">
        <v>169</v>
      </c>
      <c r="V11" s="200" t="s">
        <v>169</v>
      </c>
      <c r="W11" s="200" t="s">
        <v>169</v>
      </c>
      <c r="X11" s="200" t="s">
        <v>169</v>
      </c>
      <c r="Y11" s="200" t="s">
        <v>169</v>
      </c>
      <c r="Z11" s="200" t="s">
        <v>169</v>
      </c>
      <c r="AA11" s="146" t="s">
        <v>167</v>
      </c>
      <c r="AB11" s="146"/>
      <c r="AC11" s="147" t="s">
        <v>167</v>
      </c>
    </row>
    <row r="12" spans="1:29" x14ac:dyDescent="0.25">
      <c r="A12" s="199"/>
      <c r="B12" s="416"/>
      <c r="C12" s="205" t="s">
        <v>162</v>
      </c>
      <c r="D12" s="200" t="s">
        <v>169</v>
      </c>
      <c r="E12" s="200" t="s">
        <v>167</v>
      </c>
      <c r="F12" s="200" t="s">
        <v>167</v>
      </c>
      <c r="G12" s="200" t="s">
        <v>167</v>
      </c>
      <c r="H12" s="200" t="s">
        <v>169</v>
      </c>
      <c r="I12" s="200" t="s">
        <v>169</v>
      </c>
      <c r="J12" s="200" t="s">
        <v>169</v>
      </c>
      <c r="K12" s="200" t="s">
        <v>169</v>
      </c>
      <c r="L12" s="200" t="s">
        <v>169</v>
      </c>
      <c r="M12" s="200" t="s">
        <v>169</v>
      </c>
      <c r="N12" s="200" t="s">
        <v>169</v>
      </c>
      <c r="O12" s="200" t="s">
        <v>169</v>
      </c>
      <c r="P12" s="200" t="s">
        <v>169</v>
      </c>
      <c r="Q12" s="200" t="s">
        <v>169</v>
      </c>
      <c r="R12" s="200" t="s">
        <v>169</v>
      </c>
      <c r="S12" s="200" t="s">
        <v>169</v>
      </c>
      <c r="T12" s="200" t="s">
        <v>169</v>
      </c>
      <c r="U12" s="200" t="s">
        <v>169</v>
      </c>
      <c r="V12" s="200" t="s">
        <v>169</v>
      </c>
      <c r="W12" s="200" t="s">
        <v>169</v>
      </c>
      <c r="X12" s="200" t="s">
        <v>169</v>
      </c>
      <c r="Y12" s="200" t="s">
        <v>169</v>
      </c>
      <c r="Z12" s="200" t="s">
        <v>169</v>
      </c>
      <c r="AA12" s="146" t="s">
        <v>167</v>
      </c>
      <c r="AB12" s="146"/>
      <c r="AC12" s="147" t="s">
        <v>167</v>
      </c>
    </row>
    <row r="13" spans="1:29" x14ac:dyDescent="0.25">
      <c r="A13" s="199"/>
      <c r="B13" s="416"/>
      <c r="C13" s="166" t="s">
        <v>155</v>
      </c>
      <c r="D13" s="146" t="s">
        <v>169</v>
      </c>
      <c r="E13" s="146" t="s">
        <v>167</v>
      </c>
      <c r="F13" s="146" t="s">
        <v>167</v>
      </c>
      <c r="G13" s="146" t="s">
        <v>167</v>
      </c>
      <c r="H13" s="146" t="s">
        <v>169</v>
      </c>
      <c r="I13" s="146" t="s">
        <v>169</v>
      </c>
      <c r="J13" s="146" t="s">
        <v>169</v>
      </c>
      <c r="K13" s="146" t="s">
        <v>169</v>
      </c>
      <c r="L13" s="146" t="s">
        <v>169</v>
      </c>
      <c r="M13" s="146" t="s">
        <v>169</v>
      </c>
      <c r="N13" s="146" t="s">
        <v>169</v>
      </c>
      <c r="O13" s="146" t="s">
        <v>169</v>
      </c>
      <c r="P13" s="146" t="s">
        <v>169</v>
      </c>
      <c r="Q13" s="146" t="s">
        <v>169</v>
      </c>
      <c r="R13" s="146" t="s">
        <v>169</v>
      </c>
      <c r="S13" s="146" t="s">
        <v>169</v>
      </c>
      <c r="T13" s="146" t="s">
        <v>169</v>
      </c>
      <c r="U13" s="146" t="s">
        <v>169</v>
      </c>
      <c r="V13" s="146" t="s">
        <v>169</v>
      </c>
      <c r="W13" s="146" t="s">
        <v>169</v>
      </c>
      <c r="X13" s="146" t="s">
        <v>169</v>
      </c>
      <c r="Y13" s="146" t="s">
        <v>169</v>
      </c>
      <c r="Z13" s="146" t="s">
        <v>169</v>
      </c>
      <c r="AA13" s="146" t="s">
        <v>167</v>
      </c>
      <c r="AB13" s="146" t="s">
        <v>167</v>
      </c>
      <c r="AC13" s="147" t="s">
        <v>167</v>
      </c>
    </row>
    <row r="14" spans="1:29" x14ac:dyDescent="0.25">
      <c r="A14" s="199"/>
      <c r="B14" s="432" t="s">
        <v>73</v>
      </c>
      <c r="C14" s="206" t="s">
        <v>157</v>
      </c>
      <c r="D14" s="207" t="s">
        <v>169</v>
      </c>
      <c r="E14" s="207" t="s">
        <v>167</v>
      </c>
      <c r="F14" s="207" t="s">
        <v>167</v>
      </c>
      <c r="G14" s="207" t="s">
        <v>167</v>
      </c>
      <c r="H14" s="207" t="s">
        <v>169</v>
      </c>
      <c r="I14" s="207" t="s">
        <v>169</v>
      </c>
      <c r="J14" s="207" t="s">
        <v>169</v>
      </c>
      <c r="K14" s="207" t="s">
        <v>169</v>
      </c>
      <c r="L14" s="207" t="s">
        <v>169</v>
      </c>
      <c r="M14" s="207" t="s">
        <v>169</v>
      </c>
      <c r="N14" s="207" t="s">
        <v>169</v>
      </c>
      <c r="O14" s="207" t="s">
        <v>169</v>
      </c>
      <c r="P14" s="207" t="s">
        <v>169</v>
      </c>
      <c r="Q14" s="207" t="s">
        <v>169</v>
      </c>
      <c r="R14" s="207" t="s">
        <v>169</v>
      </c>
      <c r="S14" s="207" t="s">
        <v>169</v>
      </c>
      <c r="T14" s="207" t="s">
        <v>169</v>
      </c>
      <c r="U14" s="207" t="s">
        <v>169</v>
      </c>
      <c r="V14" s="207" t="s">
        <v>169</v>
      </c>
      <c r="W14" s="207" t="s">
        <v>169</v>
      </c>
      <c r="X14" s="207" t="s">
        <v>169</v>
      </c>
      <c r="Y14" s="207" t="s">
        <v>169</v>
      </c>
      <c r="Z14" s="207" t="s">
        <v>169</v>
      </c>
      <c r="AA14" s="146">
        <v>0.85</v>
      </c>
      <c r="AB14" s="146"/>
      <c r="AC14" s="147">
        <v>0.85</v>
      </c>
    </row>
    <row r="15" spans="1:29" x14ac:dyDescent="0.25">
      <c r="A15" s="199"/>
      <c r="B15" s="433"/>
      <c r="C15" s="206" t="s">
        <v>158</v>
      </c>
      <c r="D15" s="207" t="s">
        <v>169</v>
      </c>
      <c r="E15" s="207" t="s">
        <v>167</v>
      </c>
      <c r="F15" s="207" t="s">
        <v>167</v>
      </c>
      <c r="G15" s="207" t="s">
        <v>167</v>
      </c>
      <c r="H15" s="207" t="s">
        <v>169</v>
      </c>
      <c r="I15" s="207" t="s">
        <v>169</v>
      </c>
      <c r="J15" s="207" t="s">
        <v>169</v>
      </c>
      <c r="K15" s="207" t="s">
        <v>169</v>
      </c>
      <c r="L15" s="207" t="s">
        <v>169</v>
      </c>
      <c r="M15" s="207" t="s">
        <v>169</v>
      </c>
      <c r="N15" s="207" t="s">
        <v>169</v>
      </c>
      <c r="O15" s="207" t="s">
        <v>169</v>
      </c>
      <c r="P15" s="207" t="s">
        <v>169</v>
      </c>
      <c r="Q15" s="207" t="s">
        <v>169</v>
      </c>
      <c r="R15" s="207" t="s">
        <v>169</v>
      </c>
      <c r="S15" s="207" t="s">
        <v>169</v>
      </c>
      <c r="T15" s="207" t="s">
        <v>169</v>
      </c>
      <c r="U15" s="207" t="s">
        <v>169</v>
      </c>
      <c r="V15" s="207" t="s">
        <v>169</v>
      </c>
      <c r="W15" s="207" t="s">
        <v>169</v>
      </c>
      <c r="X15" s="207" t="s">
        <v>169</v>
      </c>
      <c r="Y15" s="207" t="s">
        <v>169</v>
      </c>
      <c r="Z15" s="207" t="s">
        <v>169</v>
      </c>
      <c r="AA15" s="146" t="s">
        <v>167</v>
      </c>
      <c r="AB15" s="146"/>
      <c r="AC15" s="147" t="s">
        <v>167</v>
      </c>
    </row>
    <row r="16" spans="1:29" x14ac:dyDescent="0.25">
      <c r="A16" s="199"/>
      <c r="B16" s="433"/>
      <c r="C16" s="206" t="s">
        <v>159</v>
      </c>
      <c r="D16" s="207" t="s">
        <v>169</v>
      </c>
      <c r="E16" s="207" t="s">
        <v>167</v>
      </c>
      <c r="F16" s="207" t="s">
        <v>167</v>
      </c>
      <c r="G16" s="207" t="s">
        <v>167</v>
      </c>
      <c r="H16" s="207" t="s">
        <v>169</v>
      </c>
      <c r="I16" s="207" t="s">
        <v>169</v>
      </c>
      <c r="J16" s="207" t="s">
        <v>169</v>
      </c>
      <c r="K16" s="207" t="s">
        <v>169</v>
      </c>
      <c r="L16" s="207" t="s">
        <v>169</v>
      </c>
      <c r="M16" s="207" t="s">
        <v>169</v>
      </c>
      <c r="N16" s="207" t="s">
        <v>169</v>
      </c>
      <c r="O16" s="207" t="s">
        <v>169</v>
      </c>
      <c r="P16" s="207" t="s">
        <v>169</v>
      </c>
      <c r="Q16" s="207" t="s">
        <v>169</v>
      </c>
      <c r="R16" s="207" t="s">
        <v>169</v>
      </c>
      <c r="S16" s="207" t="s">
        <v>169</v>
      </c>
      <c r="T16" s="207" t="s">
        <v>169</v>
      </c>
      <c r="U16" s="207" t="s">
        <v>169</v>
      </c>
      <c r="V16" s="207" t="s">
        <v>169</v>
      </c>
      <c r="W16" s="207" t="s">
        <v>169</v>
      </c>
      <c r="X16" s="207" t="s">
        <v>169</v>
      </c>
      <c r="Y16" s="207" t="s">
        <v>169</v>
      </c>
      <c r="Z16" s="207" t="s">
        <v>169</v>
      </c>
      <c r="AA16" s="146" t="s">
        <v>167</v>
      </c>
      <c r="AB16" s="146"/>
      <c r="AC16" s="147" t="s">
        <v>167</v>
      </c>
    </row>
    <row r="17" spans="1:29" ht="15.75" thickBot="1" x14ac:dyDescent="0.3">
      <c r="A17" s="208"/>
      <c r="B17" s="434"/>
      <c r="C17" s="124" t="s">
        <v>156</v>
      </c>
      <c r="D17" s="160" t="s">
        <v>169</v>
      </c>
      <c r="E17" s="160" t="s">
        <v>167</v>
      </c>
      <c r="F17" s="160" t="s">
        <v>167</v>
      </c>
      <c r="G17" s="160" t="s">
        <v>167</v>
      </c>
      <c r="H17" s="160" t="s">
        <v>169</v>
      </c>
      <c r="I17" s="160" t="s">
        <v>169</v>
      </c>
      <c r="J17" s="160" t="s">
        <v>169</v>
      </c>
      <c r="K17" s="160" t="s">
        <v>169</v>
      </c>
      <c r="L17" s="160" t="s">
        <v>169</v>
      </c>
      <c r="M17" s="160" t="s">
        <v>169</v>
      </c>
      <c r="N17" s="160" t="s">
        <v>169</v>
      </c>
      <c r="O17" s="160" t="s">
        <v>169</v>
      </c>
      <c r="P17" s="160" t="s">
        <v>169</v>
      </c>
      <c r="Q17" s="160" t="s">
        <v>169</v>
      </c>
      <c r="R17" s="160" t="s">
        <v>169</v>
      </c>
      <c r="S17" s="160" t="s">
        <v>169</v>
      </c>
      <c r="T17" s="160" t="s">
        <v>169</v>
      </c>
      <c r="U17" s="160" t="s">
        <v>169</v>
      </c>
      <c r="V17" s="160" t="s">
        <v>169</v>
      </c>
      <c r="W17" s="160" t="s">
        <v>169</v>
      </c>
      <c r="X17" s="160" t="s">
        <v>169</v>
      </c>
      <c r="Y17" s="160" t="s">
        <v>169</v>
      </c>
      <c r="Z17" s="160" t="s">
        <v>169</v>
      </c>
      <c r="AA17" s="160" t="s">
        <v>167</v>
      </c>
      <c r="AB17" s="160" t="s">
        <v>167</v>
      </c>
      <c r="AC17" s="209" t="s">
        <v>167</v>
      </c>
    </row>
    <row r="18" spans="1:29" x14ac:dyDescent="0.25">
      <c r="A18" s="196"/>
      <c r="B18" s="435" t="s">
        <v>30</v>
      </c>
      <c r="C18" s="197" t="s">
        <v>24</v>
      </c>
      <c r="D18" s="198">
        <v>27</v>
      </c>
      <c r="E18" s="198">
        <v>27</v>
      </c>
      <c r="F18" s="198">
        <v>27</v>
      </c>
      <c r="G18" s="198">
        <v>27</v>
      </c>
      <c r="H18" s="198">
        <v>27</v>
      </c>
      <c r="I18" s="198">
        <v>27</v>
      </c>
      <c r="J18" s="198">
        <v>27</v>
      </c>
      <c r="K18" s="198">
        <v>27</v>
      </c>
      <c r="L18" s="198">
        <v>27</v>
      </c>
      <c r="M18" s="198">
        <v>27</v>
      </c>
      <c r="N18" s="198">
        <v>27</v>
      </c>
      <c r="O18" s="198">
        <v>27</v>
      </c>
      <c r="P18" s="198">
        <v>0</v>
      </c>
      <c r="Q18" s="198">
        <v>0</v>
      </c>
      <c r="R18" s="198">
        <v>27</v>
      </c>
      <c r="S18" s="198">
        <v>27</v>
      </c>
      <c r="T18" s="198">
        <v>27</v>
      </c>
      <c r="U18" s="198">
        <v>27</v>
      </c>
      <c r="V18" s="198">
        <v>8</v>
      </c>
      <c r="W18" s="198">
        <v>8</v>
      </c>
      <c r="X18" s="198">
        <v>8</v>
      </c>
      <c r="Y18" s="198">
        <v>8</v>
      </c>
      <c r="Z18" s="198">
        <v>10</v>
      </c>
      <c r="AA18" s="198">
        <v>81</v>
      </c>
      <c r="AB18" s="198">
        <v>81</v>
      </c>
      <c r="AC18" s="112">
        <v>81</v>
      </c>
    </row>
    <row r="19" spans="1:29" x14ac:dyDescent="0.25">
      <c r="A19" s="199"/>
      <c r="B19" s="416"/>
      <c r="C19" s="98" t="s">
        <v>40</v>
      </c>
      <c r="D19" s="200">
        <v>11.732278264529583</v>
      </c>
      <c r="E19" s="200">
        <v>3.9248532373163864E-2</v>
      </c>
      <c r="F19" s="200">
        <v>7.7564493888961292E-2</v>
      </c>
      <c r="G19" s="200">
        <v>4.8270014522416513E-2</v>
      </c>
      <c r="H19" s="200">
        <v>3.8263593193825344E-3</v>
      </c>
      <c r="I19" s="200">
        <v>2.9300000486177953</v>
      </c>
      <c r="J19" s="200">
        <v>0.27991452195472033</v>
      </c>
      <c r="K19" s="200">
        <v>2.1098534265397397</v>
      </c>
      <c r="L19" s="200">
        <v>5.6396894299328997</v>
      </c>
      <c r="M19" s="200">
        <v>2.9773838877133083</v>
      </c>
      <c r="N19" s="200">
        <v>2.683472683115228</v>
      </c>
      <c r="O19" s="200">
        <v>0.19135667983474974</v>
      </c>
      <c r="P19" s="200" t="s">
        <v>167</v>
      </c>
      <c r="Q19" s="200" t="s">
        <v>167</v>
      </c>
      <c r="R19" s="200" t="s">
        <v>167</v>
      </c>
      <c r="S19" s="200">
        <v>1.5968273387744676</v>
      </c>
      <c r="T19" s="200">
        <v>2.5919005995502058</v>
      </c>
      <c r="U19" s="200">
        <v>4.3943761002605717</v>
      </c>
      <c r="V19" s="200">
        <v>3.5387649177159461E-2</v>
      </c>
      <c r="W19" s="200">
        <v>0.1195837273927471</v>
      </c>
      <c r="X19" s="200">
        <v>3.471696785640787E-2</v>
      </c>
      <c r="Y19" s="200">
        <v>0.752421412602577</v>
      </c>
      <c r="Z19" s="200" t="s">
        <v>167</v>
      </c>
      <c r="AA19" s="146">
        <v>1.7334792213956072E-3</v>
      </c>
      <c r="AB19" s="146"/>
      <c r="AC19" s="147">
        <v>5.8021907329710706E-3</v>
      </c>
    </row>
    <row r="20" spans="1:29" x14ac:dyDescent="0.25">
      <c r="A20" s="199"/>
      <c r="B20" s="416"/>
      <c r="C20" s="98" t="s">
        <v>25</v>
      </c>
      <c r="D20" s="200">
        <v>0.14494898560551789</v>
      </c>
      <c r="E20" s="200">
        <v>2.6531893895381298E-2</v>
      </c>
      <c r="F20" s="200">
        <v>9.4313953388964408E-2</v>
      </c>
      <c r="G20" s="200">
        <v>9.5221041287736244E-2</v>
      </c>
      <c r="H20" s="200">
        <v>1.4680379347959246E-3</v>
      </c>
      <c r="I20" s="200">
        <v>4.2803809821816072E-2</v>
      </c>
      <c r="J20" s="200">
        <v>0.12754091656306343</v>
      </c>
      <c r="K20" s="200">
        <v>2.1998857894023161E-2</v>
      </c>
      <c r="L20" s="200">
        <v>8.0100796742866007E-2</v>
      </c>
      <c r="M20" s="200">
        <v>8.2611617478429086E-2</v>
      </c>
      <c r="N20" s="200">
        <v>7.7982738611679189E-2</v>
      </c>
      <c r="O20" s="200">
        <v>0.14787150416537617</v>
      </c>
      <c r="P20" s="200" t="s">
        <v>167</v>
      </c>
      <c r="Q20" s="200" t="s">
        <v>167</v>
      </c>
      <c r="R20" s="200" t="s">
        <v>167</v>
      </c>
      <c r="S20" s="200">
        <v>1.6525235012230979E-2</v>
      </c>
      <c r="T20" s="200">
        <v>3.1395834987822141E-2</v>
      </c>
      <c r="U20" s="200">
        <v>0.1324198155212449</v>
      </c>
      <c r="V20" s="200">
        <v>0.19769636411820926</v>
      </c>
      <c r="W20" s="200">
        <v>0.12836036752206856</v>
      </c>
      <c r="X20" s="200">
        <v>0.12852186156930262</v>
      </c>
      <c r="Y20" s="200">
        <v>8.855532786283693E-2</v>
      </c>
      <c r="Z20" s="200" t="s">
        <v>167</v>
      </c>
      <c r="AA20" s="146">
        <v>2.351950640357401E-2</v>
      </c>
      <c r="AB20" s="146"/>
      <c r="AC20" s="147">
        <v>4.2142456091216356E-2</v>
      </c>
    </row>
    <row r="21" spans="1:29" x14ac:dyDescent="0.25">
      <c r="A21" s="199"/>
      <c r="B21" s="416"/>
      <c r="C21" s="201" t="s">
        <v>55</v>
      </c>
      <c r="D21" s="202">
        <v>0.15</v>
      </c>
      <c r="E21" s="202">
        <v>0.05</v>
      </c>
      <c r="F21" s="202">
        <v>0.05</v>
      </c>
      <c r="G21" s="202">
        <v>0.05</v>
      </c>
      <c r="H21" s="202" t="s">
        <v>167</v>
      </c>
      <c r="I21" s="202" t="s">
        <v>167</v>
      </c>
      <c r="J21" s="202" t="s">
        <v>167</v>
      </c>
      <c r="K21" s="202" t="s">
        <v>167</v>
      </c>
      <c r="L21" s="202">
        <v>0.3</v>
      </c>
      <c r="M21" s="202">
        <v>0.3</v>
      </c>
      <c r="N21" s="202">
        <v>0.3</v>
      </c>
      <c r="O21" s="202" t="s">
        <v>167</v>
      </c>
      <c r="P21" s="202" t="s">
        <v>167</v>
      </c>
      <c r="Q21" s="202" t="s">
        <v>167</v>
      </c>
      <c r="R21" s="202" t="s">
        <v>167</v>
      </c>
      <c r="S21" s="202" t="s">
        <v>167</v>
      </c>
      <c r="T21" s="202" t="s">
        <v>167</v>
      </c>
      <c r="U21" s="202" t="s">
        <v>167</v>
      </c>
      <c r="V21" s="202">
        <v>0.4</v>
      </c>
      <c r="W21" s="202" t="s">
        <v>167</v>
      </c>
      <c r="X21" s="202" t="s">
        <v>167</v>
      </c>
      <c r="Y21" s="202">
        <v>0.3</v>
      </c>
      <c r="Z21" s="202" t="s">
        <v>167</v>
      </c>
      <c r="AA21" s="203">
        <v>0.3</v>
      </c>
      <c r="AB21" s="203">
        <v>0.3</v>
      </c>
      <c r="AC21" s="204">
        <v>0.3</v>
      </c>
    </row>
    <row r="22" spans="1:29" x14ac:dyDescent="0.25">
      <c r="A22" s="199"/>
      <c r="B22" s="416"/>
      <c r="C22" s="205" t="s">
        <v>164</v>
      </c>
      <c r="D22" s="200" t="s">
        <v>166</v>
      </c>
      <c r="E22" s="200" t="s">
        <v>166</v>
      </c>
      <c r="F22" s="200" t="s">
        <v>282</v>
      </c>
      <c r="G22" s="200" t="s">
        <v>282</v>
      </c>
      <c r="H22" s="200" t="s">
        <v>169</v>
      </c>
      <c r="I22" s="200" t="s">
        <v>169</v>
      </c>
      <c r="J22" s="200" t="s">
        <v>169</v>
      </c>
      <c r="K22" s="200" t="s">
        <v>169</v>
      </c>
      <c r="L22" s="200" t="s">
        <v>166</v>
      </c>
      <c r="M22" s="200" t="s">
        <v>166</v>
      </c>
      <c r="N22" s="200" t="s">
        <v>166</v>
      </c>
      <c r="O22" s="200" t="s">
        <v>169</v>
      </c>
      <c r="P22" s="200" t="s">
        <v>169</v>
      </c>
      <c r="Q22" s="200" t="s">
        <v>169</v>
      </c>
      <c r="R22" s="200" t="s">
        <v>169</v>
      </c>
      <c r="S22" s="200" t="s">
        <v>169</v>
      </c>
      <c r="T22" s="200" t="s">
        <v>169</v>
      </c>
      <c r="U22" s="200" t="s">
        <v>169</v>
      </c>
      <c r="V22" s="200" t="s">
        <v>166</v>
      </c>
      <c r="W22" s="200" t="s">
        <v>169</v>
      </c>
      <c r="X22" s="200" t="s">
        <v>169</v>
      </c>
      <c r="Y22" s="200" t="s">
        <v>166</v>
      </c>
      <c r="Z22" s="200" t="s">
        <v>169</v>
      </c>
      <c r="AA22" s="146" t="s">
        <v>166</v>
      </c>
      <c r="AB22" s="146" t="s">
        <v>169</v>
      </c>
      <c r="AC22" s="147" t="s">
        <v>166</v>
      </c>
    </row>
    <row r="23" spans="1:29" x14ac:dyDescent="0.25">
      <c r="A23" s="199"/>
      <c r="B23" s="148" t="s">
        <v>31</v>
      </c>
      <c r="C23" s="205" t="s">
        <v>163</v>
      </c>
      <c r="D23" s="200">
        <v>80.940740740740722</v>
      </c>
      <c r="E23" s="200">
        <v>1.4792962962962961</v>
      </c>
      <c r="F23" s="200">
        <v>0.82240740740740748</v>
      </c>
      <c r="G23" s="200">
        <v>0.50692592592592589</v>
      </c>
      <c r="H23" s="200">
        <v>2.606444444444445</v>
      </c>
      <c r="I23" s="200">
        <v>68.451851851851856</v>
      </c>
      <c r="J23" s="200">
        <v>2.1947037037037034</v>
      </c>
      <c r="K23" s="200">
        <v>95.907407407407405</v>
      </c>
      <c r="L23" s="200">
        <v>70.407407407407419</v>
      </c>
      <c r="M23" s="200">
        <v>36.040740740740731</v>
      </c>
      <c r="N23" s="200">
        <v>34.411111111111119</v>
      </c>
      <c r="O23" s="200">
        <v>1.2940740740740739</v>
      </c>
      <c r="P23" s="200" t="s">
        <v>167</v>
      </c>
      <c r="Q23" s="200" t="s">
        <v>167</v>
      </c>
      <c r="R23" s="200">
        <v>100</v>
      </c>
      <c r="S23" s="200">
        <v>96.629629629629633</v>
      </c>
      <c r="T23" s="200">
        <v>82.555555555555557</v>
      </c>
      <c r="U23" s="200">
        <v>33.185185185185183</v>
      </c>
      <c r="V23" s="200">
        <v>0.17900000000000002</v>
      </c>
      <c r="W23" s="200">
        <v>0.93162499999999993</v>
      </c>
      <c r="X23" s="200">
        <v>0.270125</v>
      </c>
      <c r="Y23" s="200">
        <v>8.4966250000000016</v>
      </c>
      <c r="Z23" s="200">
        <v>1</v>
      </c>
      <c r="AA23" s="146">
        <v>7.370389461626578E-2</v>
      </c>
      <c r="AB23" s="146" t="s">
        <v>314</v>
      </c>
      <c r="AC23" s="147">
        <v>0.13768041237113388</v>
      </c>
    </row>
    <row r="24" spans="1:29" x14ac:dyDescent="0.25">
      <c r="A24" s="199"/>
      <c r="B24" s="416" t="s">
        <v>72</v>
      </c>
      <c r="C24" s="205" t="s">
        <v>160</v>
      </c>
      <c r="D24" s="200" t="s">
        <v>169</v>
      </c>
      <c r="E24" s="200">
        <v>0.95</v>
      </c>
      <c r="F24" s="200">
        <v>0.95</v>
      </c>
      <c r="G24" s="200">
        <v>0.95</v>
      </c>
      <c r="H24" s="200" t="s">
        <v>169</v>
      </c>
      <c r="I24" s="200" t="s">
        <v>169</v>
      </c>
      <c r="J24" s="200" t="s">
        <v>169</v>
      </c>
      <c r="K24" s="200" t="s">
        <v>169</v>
      </c>
      <c r="L24" s="200" t="s">
        <v>169</v>
      </c>
      <c r="M24" s="200" t="s">
        <v>169</v>
      </c>
      <c r="N24" s="200" t="s">
        <v>169</v>
      </c>
      <c r="O24" s="200" t="s">
        <v>169</v>
      </c>
      <c r="P24" s="200" t="s">
        <v>169</v>
      </c>
      <c r="Q24" s="200" t="s">
        <v>169</v>
      </c>
      <c r="R24" s="200" t="s">
        <v>169</v>
      </c>
      <c r="S24" s="200" t="s">
        <v>169</v>
      </c>
      <c r="T24" s="200" t="s">
        <v>169</v>
      </c>
      <c r="U24" s="200" t="s">
        <v>169</v>
      </c>
      <c r="V24" s="200" t="s">
        <v>169</v>
      </c>
      <c r="W24" s="200" t="s">
        <v>169</v>
      </c>
      <c r="X24" s="200" t="s">
        <v>169</v>
      </c>
      <c r="Y24" s="200" t="s">
        <v>169</v>
      </c>
      <c r="Z24" s="200" t="s">
        <v>169</v>
      </c>
      <c r="AA24" s="146">
        <v>0.95</v>
      </c>
      <c r="AB24" s="146"/>
      <c r="AC24" s="147">
        <v>0.95</v>
      </c>
    </row>
    <row r="25" spans="1:29" x14ac:dyDescent="0.25">
      <c r="A25" s="199">
        <v>2</v>
      </c>
      <c r="B25" s="416"/>
      <c r="C25" s="205" t="s">
        <v>161</v>
      </c>
      <c r="D25" s="200" t="s">
        <v>169</v>
      </c>
      <c r="E25" s="200">
        <v>1.71</v>
      </c>
      <c r="F25" s="200">
        <v>1.71</v>
      </c>
      <c r="G25" s="200">
        <v>1.71</v>
      </c>
      <c r="H25" s="200" t="s">
        <v>169</v>
      </c>
      <c r="I25" s="200" t="s">
        <v>169</v>
      </c>
      <c r="J25" s="200" t="s">
        <v>169</v>
      </c>
      <c r="K25" s="200" t="s">
        <v>169</v>
      </c>
      <c r="L25" s="200" t="s">
        <v>169</v>
      </c>
      <c r="M25" s="200" t="s">
        <v>169</v>
      </c>
      <c r="N25" s="200" t="s">
        <v>169</v>
      </c>
      <c r="O25" s="200" t="s">
        <v>169</v>
      </c>
      <c r="P25" s="200" t="s">
        <v>169</v>
      </c>
      <c r="Q25" s="200" t="s">
        <v>169</v>
      </c>
      <c r="R25" s="200" t="s">
        <v>169</v>
      </c>
      <c r="S25" s="200" t="s">
        <v>169</v>
      </c>
      <c r="T25" s="200" t="s">
        <v>169</v>
      </c>
      <c r="U25" s="200" t="s">
        <v>169</v>
      </c>
      <c r="V25" s="200" t="s">
        <v>169</v>
      </c>
      <c r="W25" s="200" t="s">
        <v>169</v>
      </c>
      <c r="X25" s="200" t="s">
        <v>169</v>
      </c>
      <c r="Y25" s="200" t="s">
        <v>169</v>
      </c>
      <c r="Z25" s="200" t="s">
        <v>169</v>
      </c>
      <c r="AA25" s="146">
        <v>1.67</v>
      </c>
      <c r="AB25" s="146"/>
      <c r="AC25" s="147">
        <v>1.67</v>
      </c>
    </row>
    <row r="26" spans="1:29" x14ac:dyDescent="0.25">
      <c r="A26" s="199"/>
      <c r="B26" s="416"/>
      <c r="C26" s="205" t="s">
        <v>162</v>
      </c>
      <c r="D26" s="200" t="s">
        <v>169</v>
      </c>
      <c r="E26" s="200">
        <v>8.7313717670871194E-3</v>
      </c>
      <c r="F26" s="200">
        <v>3.1037746235150158E-2</v>
      </c>
      <c r="G26" s="200">
        <v>3.1336259477394865E-2</v>
      </c>
      <c r="H26" s="200" t="s">
        <v>169</v>
      </c>
      <c r="I26" s="200" t="s">
        <v>169</v>
      </c>
      <c r="J26" s="200" t="s">
        <v>169</v>
      </c>
      <c r="K26" s="200" t="s">
        <v>169</v>
      </c>
      <c r="L26" s="200" t="s">
        <v>169</v>
      </c>
      <c r="M26" s="200" t="s">
        <v>169</v>
      </c>
      <c r="N26" s="200" t="s">
        <v>169</v>
      </c>
      <c r="O26" s="200" t="s">
        <v>169</v>
      </c>
      <c r="P26" s="200" t="s">
        <v>169</v>
      </c>
      <c r="Q26" s="200" t="s">
        <v>169</v>
      </c>
      <c r="R26" s="200" t="s">
        <v>169</v>
      </c>
      <c r="S26" s="200" t="s">
        <v>169</v>
      </c>
      <c r="T26" s="200" t="s">
        <v>169</v>
      </c>
      <c r="U26" s="200" t="s">
        <v>169</v>
      </c>
      <c r="V26" s="200" t="s">
        <v>169</v>
      </c>
      <c r="W26" s="200" t="s">
        <v>169</v>
      </c>
      <c r="X26" s="200" t="s">
        <v>169</v>
      </c>
      <c r="Y26" s="200" t="s">
        <v>169</v>
      </c>
      <c r="Z26" s="200" t="s">
        <v>169</v>
      </c>
      <c r="AA26" s="146">
        <v>3.9277575693968593E-2</v>
      </c>
      <c r="AB26" s="146"/>
      <c r="AC26" s="147">
        <v>7.0377901672331308E-2</v>
      </c>
    </row>
    <row r="27" spans="1:29" x14ac:dyDescent="0.25">
      <c r="A27" s="199"/>
      <c r="B27" s="416"/>
      <c r="C27" s="166" t="s">
        <v>155</v>
      </c>
      <c r="D27" s="146" t="s">
        <v>169</v>
      </c>
      <c r="E27" s="146" t="s">
        <v>278</v>
      </c>
      <c r="F27" s="146" t="s">
        <v>280</v>
      </c>
      <c r="G27" s="146" t="s">
        <v>283</v>
      </c>
      <c r="H27" s="146" t="s">
        <v>169</v>
      </c>
      <c r="I27" s="146" t="s">
        <v>169</v>
      </c>
      <c r="J27" s="146" t="s">
        <v>169</v>
      </c>
      <c r="K27" s="146" t="s">
        <v>169</v>
      </c>
      <c r="L27" s="146" t="s">
        <v>169</v>
      </c>
      <c r="M27" s="146" t="s">
        <v>169</v>
      </c>
      <c r="N27" s="146" t="s">
        <v>169</v>
      </c>
      <c r="O27" s="146" t="s">
        <v>169</v>
      </c>
      <c r="P27" s="146" t="s">
        <v>169</v>
      </c>
      <c r="Q27" s="146" t="s">
        <v>169</v>
      </c>
      <c r="R27" s="146" t="s">
        <v>169</v>
      </c>
      <c r="S27" s="146" t="s">
        <v>169</v>
      </c>
      <c r="T27" s="146" t="s">
        <v>169</v>
      </c>
      <c r="U27" s="146" t="s">
        <v>169</v>
      </c>
      <c r="V27" s="146" t="s">
        <v>169</v>
      </c>
      <c r="W27" s="146" t="s">
        <v>169</v>
      </c>
      <c r="X27" s="146" t="s">
        <v>169</v>
      </c>
      <c r="Y27" s="146" t="s">
        <v>169</v>
      </c>
      <c r="Z27" s="146" t="s">
        <v>169</v>
      </c>
      <c r="AA27" s="146" t="s">
        <v>349</v>
      </c>
      <c r="AB27" s="146" t="s">
        <v>315</v>
      </c>
      <c r="AC27" s="147" t="s">
        <v>316</v>
      </c>
    </row>
    <row r="28" spans="1:29" x14ac:dyDescent="0.25">
      <c r="A28" s="199"/>
      <c r="B28" s="432" t="s">
        <v>73</v>
      </c>
      <c r="C28" s="206" t="s">
        <v>157</v>
      </c>
      <c r="D28" s="207" t="s">
        <v>169</v>
      </c>
      <c r="E28" s="207">
        <v>0.85</v>
      </c>
      <c r="F28" s="207">
        <v>0.85</v>
      </c>
      <c r="G28" s="207">
        <v>0.85</v>
      </c>
      <c r="H28" s="207" t="s">
        <v>169</v>
      </c>
      <c r="I28" s="207" t="s">
        <v>169</v>
      </c>
      <c r="J28" s="207" t="s">
        <v>169</v>
      </c>
      <c r="K28" s="207" t="s">
        <v>169</v>
      </c>
      <c r="L28" s="207" t="s">
        <v>169</v>
      </c>
      <c r="M28" s="207" t="s">
        <v>169</v>
      </c>
      <c r="N28" s="207" t="s">
        <v>169</v>
      </c>
      <c r="O28" s="207" t="s">
        <v>169</v>
      </c>
      <c r="P28" s="207" t="s">
        <v>169</v>
      </c>
      <c r="Q28" s="207" t="s">
        <v>169</v>
      </c>
      <c r="R28" s="207" t="s">
        <v>169</v>
      </c>
      <c r="S28" s="207" t="s">
        <v>169</v>
      </c>
      <c r="T28" s="207" t="s">
        <v>169</v>
      </c>
      <c r="U28" s="207" t="s">
        <v>169</v>
      </c>
      <c r="V28" s="207" t="s">
        <v>169</v>
      </c>
      <c r="W28" s="207" t="s">
        <v>169</v>
      </c>
      <c r="X28" s="207" t="s">
        <v>169</v>
      </c>
      <c r="Y28" s="207" t="s">
        <v>169</v>
      </c>
      <c r="Z28" s="207" t="s">
        <v>169</v>
      </c>
      <c r="AA28" s="146">
        <v>0.85</v>
      </c>
      <c r="AB28" s="146"/>
      <c r="AC28" s="147">
        <v>0.85</v>
      </c>
    </row>
    <row r="29" spans="1:29" x14ac:dyDescent="0.25">
      <c r="A29" s="199"/>
      <c r="B29" s="433"/>
      <c r="C29" s="206" t="s">
        <v>158</v>
      </c>
      <c r="D29" s="207" t="s">
        <v>169</v>
      </c>
      <c r="E29" s="207">
        <v>1.06</v>
      </c>
      <c r="F29" s="207">
        <v>1.06</v>
      </c>
      <c r="G29" s="207">
        <v>1.06</v>
      </c>
      <c r="H29" s="207" t="s">
        <v>169</v>
      </c>
      <c r="I29" s="207" t="s">
        <v>169</v>
      </c>
      <c r="J29" s="207" t="s">
        <v>169</v>
      </c>
      <c r="K29" s="207" t="s">
        <v>169</v>
      </c>
      <c r="L29" s="207" t="s">
        <v>169</v>
      </c>
      <c r="M29" s="207" t="s">
        <v>169</v>
      </c>
      <c r="N29" s="207" t="s">
        <v>169</v>
      </c>
      <c r="O29" s="207" t="s">
        <v>169</v>
      </c>
      <c r="P29" s="207" t="s">
        <v>169</v>
      </c>
      <c r="Q29" s="207" t="s">
        <v>169</v>
      </c>
      <c r="R29" s="207" t="s">
        <v>169</v>
      </c>
      <c r="S29" s="207" t="s">
        <v>169</v>
      </c>
      <c r="T29" s="207" t="s">
        <v>169</v>
      </c>
      <c r="U29" s="207" t="s">
        <v>169</v>
      </c>
      <c r="V29" s="207" t="s">
        <v>169</v>
      </c>
      <c r="W29" s="207" t="s">
        <v>169</v>
      </c>
      <c r="X29" s="207" t="s">
        <v>169</v>
      </c>
      <c r="Y29" s="207" t="s">
        <v>169</v>
      </c>
      <c r="Z29" s="207" t="s">
        <v>169</v>
      </c>
      <c r="AA29" s="146">
        <v>1.05</v>
      </c>
      <c r="AB29" s="146"/>
      <c r="AC29" s="147">
        <v>1.05</v>
      </c>
    </row>
    <row r="30" spans="1:29" x14ac:dyDescent="0.25">
      <c r="A30" s="199"/>
      <c r="B30" s="433"/>
      <c r="C30" s="206" t="s">
        <v>159</v>
      </c>
      <c r="D30" s="207" t="s">
        <v>169</v>
      </c>
      <c r="E30" s="207">
        <v>5.41242928252184E-3</v>
      </c>
      <c r="F30" s="207">
        <v>1.9239772520034601E-2</v>
      </c>
      <c r="G30" s="207">
        <v>1.9424815816396816E-2</v>
      </c>
      <c r="H30" s="207" t="s">
        <v>169</v>
      </c>
      <c r="I30" s="207" t="s">
        <v>169</v>
      </c>
      <c r="J30" s="207" t="s">
        <v>169</v>
      </c>
      <c r="K30" s="207" t="s">
        <v>169</v>
      </c>
      <c r="L30" s="207" t="s">
        <v>169</v>
      </c>
      <c r="M30" s="207" t="s">
        <v>169</v>
      </c>
      <c r="N30" s="207" t="s">
        <v>169</v>
      </c>
      <c r="O30" s="207" t="s">
        <v>169</v>
      </c>
      <c r="P30" s="207" t="s">
        <v>169</v>
      </c>
      <c r="Q30" s="207" t="s">
        <v>169</v>
      </c>
      <c r="R30" s="207" t="s">
        <v>169</v>
      </c>
      <c r="S30" s="207" t="s">
        <v>169</v>
      </c>
      <c r="T30" s="207" t="s">
        <v>169</v>
      </c>
      <c r="U30" s="207" t="s">
        <v>169</v>
      </c>
      <c r="V30" s="207" t="s">
        <v>169</v>
      </c>
      <c r="W30" s="207" t="s">
        <v>169</v>
      </c>
      <c r="X30" s="207" t="s">
        <v>169</v>
      </c>
      <c r="Y30" s="207" t="s">
        <v>169</v>
      </c>
      <c r="Z30" s="207" t="s">
        <v>169</v>
      </c>
      <c r="AA30" s="146">
        <v>2.4695481723752712E-2</v>
      </c>
      <c r="AB30" s="146"/>
      <c r="AC30" s="147">
        <v>4.4249578895777172E-2</v>
      </c>
    </row>
    <row r="31" spans="1:29" ht="15.75" thickBot="1" x14ac:dyDescent="0.3">
      <c r="A31" s="208"/>
      <c r="B31" s="434"/>
      <c r="C31" s="124" t="s">
        <v>156</v>
      </c>
      <c r="D31" s="160" t="s">
        <v>169</v>
      </c>
      <c r="E31" s="160" t="s">
        <v>279</v>
      </c>
      <c r="F31" s="160" t="s">
        <v>281</v>
      </c>
      <c r="G31" s="160" t="s">
        <v>284</v>
      </c>
      <c r="H31" s="160" t="s">
        <v>169</v>
      </c>
      <c r="I31" s="160" t="s">
        <v>169</v>
      </c>
      <c r="J31" s="160" t="s">
        <v>169</v>
      </c>
      <c r="K31" s="160" t="s">
        <v>169</v>
      </c>
      <c r="L31" s="160" t="s">
        <v>169</v>
      </c>
      <c r="M31" s="160" t="s">
        <v>169</v>
      </c>
      <c r="N31" s="160" t="s">
        <v>169</v>
      </c>
      <c r="O31" s="160" t="s">
        <v>169</v>
      </c>
      <c r="P31" s="160" t="s">
        <v>169</v>
      </c>
      <c r="Q31" s="160" t="s">
        <v>169</v>
      </c>
      <c r="R31" s="160" t="s">
        <v>169</v>
      </c>
      <c r="S31" s="160" t="s">
        <v>169</v>
      </c>
      <c r="T31" s="160" t="s">
        <v>169</v>
      </c>
      <c r="U31" s="160" t="s">
        <v>169</v>
      </c>
      <c r="V31" s="160" t="s">
        <v>169</v>
      </c>
      <c r="W31" s="160" t="s">
        <v>169</v>
      </c>
      <c r="X31" s="160" t="s">
        <v>169</v>
      </c>
      <c r="Y31" s="160" t="s">
        <v>169</v>
      </c>
      <c r="Z31" s="160" t="s">
        <v>169</v>
      </c>
      <c r="AA31" s="160" t="s">
        <v>350</v>
      </c>
      <c r="AB31" s="160" t="s">
        <v>317</v>
      </c>
      <c r="AC31" s="209" t="s">
        <v>318</v>
      </c>
    </row>
    <row r="32" spans="1:29" x14ac:dyDescent="0.25">
      <c r="A32" s="196"/>
      <c r="B32" s="435" t="s">
        <v>30</v>
      </c>
      <c r="C32" s="197" t="s">
        <v>24</v>
      </c>
      <c r="D32" s="198">
        <v>3</v>
      </c>
      <c r="E32" s="198">
        <v>3</v>
      </c>
      <c r="F32" s="198">
        <v>3</v>
      </c>
      <c r="G32" s="198">
        <v>3</v>
      </c>
      <c r="H32" s="198">
        <v>3</v>
      </c>
      <c r="I32" s="198">
        <v>3</v>
      </c>
      <c r="J32" s="198">
        <v>3</v>
      </c>
      <c r="K32" s="198">
        <v>3</v>
      </c>
      <c r="L32" s="198">
        <v>0</v>
      </c>
      <c r="M32" s="198">
        <v>0</v>
      </c>
      <c r="N32" s="198">
        <v>0</v>
      </c>
      <c r="O32" s="198">
        <v>0</v>
      </c>
      <c r="P32" s="198">
        <v>0</v>
      </c>
      <c r="Q32" s="198">
        <v>0</v>
      </c>
      <c r="R32" s="198">
        <v>3</v>
      </c>
      <c r="S32" s="198">
        <v>3</v>
      </c>
      <c r="T32" s="198">
        <v>3</v>
      </c>
      <c r="U32" s="198">
        <v>0</v>
      </c>
      <c r="V32" s="198">
        <v>0</v>
      </c>
      <c r="W32" s="198">
        <v>1</v>
      </c>
      <c r="X32" s="198">
        <v>1</v>
      </c>
      <c r="Y32" s="198">
        <v>1</v>
      </c>
      <c r="Z32" s="198">
        <v>3</v>
      </c>
      <c r="AA32" s="198">
        <v>9</v>
      </c>
      <c r="AB32" s="198">
        <v>9</v>
      </c>
      <c r="AC32" s="112">
        <v>9</v>
      </c>
    </row>
    <row r="33" spans="1:29" x14ac:dyDescent="0.25">
      <c r="A33" s="199"/>
      <c r="B33" s="416"/>
      <c r="C33" s="98" t="s">
        <v>40</v>
      </c>
      <c r="D33" s="200">
        <v>1.350308606701941</v>
      </c>
      <c r="E33" s="200">
        <v>2.2501851775650186E-2</v>
      </c>
      <c r="F33" s="200">
        <v>3.5472994422987958E-2</v>
      </c>
      <c r="G33" s="200">
        <v>2.1825062046494488E-2</v>
      </c>
      <c r="H33" s="200">
        <v>2.6457513110645509E-3</v>
      </c>
      <c r="I33" s="200">
        <v>1.3650396819628823</v>
      </c>
      <c r="J33" s="200">
        <v>3.9425034347903003E-2</v>
      </c>
      <c r="K33" s="200">
        <v>0.70237691685685244</v>
      </c>
      <c r="L33" s="200" t="s">
        <v>167</v>
      </c>
      <c r="M33" s="200" t="s">
        <v>167</v>
      </c>
      <c r="N33" s="200" t="s">
        <v>167</v>
      </c>
      <c r="O33" s="200" t="s">
        <v>167</v>
      </c>
      <c r="P33" s="200" t="s">
        <v>167</v>
      </c>
      <c r="Q33" s="200" t="s">
        <v>167</v>
      </c>
      <c r="R33" s="200" t="s">
        <v>167</v>
      </c>
      <c r="S33" s="200">
        <v>1.1547005383792517</v>
      </c>
      <c r="T33" s="200">
        <v>0.57735026918962573</v>
      </c>
      <c r="U33" s="200" t="s">
        <v>167</v>
      </c>
      <c r="V33" s="200" t="s">
        <v>167</v>
      </c>
      <c r="W33" s="200" t="s">
        <v>167</v>
      </c>
      <c r="X33" s="200" t="s">
        <v>167</v>
      </c>
      <c r="Y33" s="200" t="s">
        <v>167</v>
      </c>
      <c r="Z33" s="200">
        <v>2.5166114784235836</v>
      </c>
      <c r="AA33" s="146">
        <v>2.6211509111009671E-2</v>
      </c>
      <c r="AB33" s="146"/>
      <c r="AC33" s="147">
        <v>1.2133570990172057E-2</v>
      </c>
    </row>
    <row r="34" spans="1:29" x14ac:dyDescent="0.25">
      <c r="A34" s="199"/>
      <c r="B34" s="416"/>
      <c r="C34" s="98" t="s">
        <v>25</v>
      </c>
      <c r="D34" s="200">
        <v>5.9310773354404427E-2</v>
      </c>
      <c r="E34" s="200">
        <v>1.1776963595071625E-2</v>
      </c>
      <c r="F34" s="200">
        <v>2.2787790849885199E-2</v>
      </c>
      <c r="G34" s="200">
        <v>2.2446069982682025E-2</v>
      </c>
      <c r="H34" s="200">
        <v>9.935228355480853E-4</v>
      </c>
      <c r="I34" s="200">
        <v>3.2839767809852816E-2</v>
      </c>
      <c r="J34" s="200">
        <v>5.5346328050401968E-2</v>
      </c>
      <c r="K34" s="200">
        <v>8.2470870863818289E-3</v>
      </c>
      <c r="L34" s="200" t="s">
        <v>167</v>
      </c>
      <c r="M34" s="200" t="s">
        <v>167</v>
      </c>
      <c r="N34" s="200" t="s">
        <v>167</v>
      </c>
      <c r="O34" s="200" t="s">
        <v>167</v>
      </c>
      <c r="P34" s="200" t="s">
        <v>167</v>
      </c>
      <c r="Q34" s="200" t="s">
        <v>167</v>
      </c>
      <c r="R34" s="200" t="s">
        <v>167</v>
      </c>
      <c r="S34" s="200">
        <v>1.3856406460551021E-2</v>
      </c>
      <c r="T34" s="200">
        <v>4.9487165930539354E-2</v>
      </c>
      <c r="U34" s="200" t="s">
        <v>167</v>
      </c>
      <c r="V34" s="200" t="s">
        <v>167</v>
      </c>
      <c r="W34" s="200" t="s">
        <v>167</v>
      </c>
      <c r="X34" s="200" t="s">
        <v>167</v>
      </c>
      <c r="Y34" s="200" t="s">
        <v>167</v>
      </c>
      <c r="Z34" s="200">
        <v>0.20404957933164189</v>
      </c>
      <c r="AA34" s="146">
        <v>0.89020219622297181</v>
      </c>
      <c r="AB34" s="146"/>
      <c r="AC34" s="147">
        <v>2.1738257969851401E-2</v>
      </c>
    </row>
    <row r="35" spans="1:29" x14ac:dyDescent="0.25">
      <c r="A35" s="199"/>
      <c r="B35" s="416"/>
      <c r="C35" s="201" t="s">
        <v>55</v>
      </c>
      <c r="D35" s="202">
        <v>0.15</v>
      </c>
      <c r="E35" s="202">
        <v>0.05</v>
      </c>
      <c r="F35" s="202">
        <v>0.05</v>
      </c>
      <c r="G35" s="202">
        <v>0.05</v>
      </c>
      <c r="H35" s="202" t="s">
        <v>167</v>
      </c>
      <c r="I35" s="202" t="s">
        <v>167</v>
      </c>
      <c r="J35" s="202" t="s">
        <v>167</v>
      </c>
      <c r="K35" s="202" t="s">
        <v>167</v>
      </c>
      <c r="L35" s="202">
        <v>0.3</v>
      </c>
      <c r="M35" s="202">
        <v>0.3</v>
      </c>
      <c r="N35" s="202">
        <v>0.3</v>
      </c>
      <c r="O35" s="202" t="s">
        <v>167</v>
      </c>
      <c r="P35" s="202" t="s">
        <v>167</v>
      </c>
      <c r="Q35" s="202" t="s">
        <v>167</v>
      </c>
      <c r="R35" s="202" t="s">
        <v>167</v>
      </c>
      <c r="S35" s="202" t="s">
        <v>167</v>
      </c>
      <c r="T35" s="202" t="s">
        <v>167</v>
      </c>
      <c r="U35" s="202" t="s">
        <v>167</v>
      </c>
      <c r="V35" s="202">
        <v>0.4</v>
      </c>
      <c r="W35" s="202" t="s">
        <v>167</v>
      </c>
      <c r="X35" s="202" t="s">
        <v>167</v>
      </c>
      <c r="Y35" s="202">
        <v>0.3</v>
      </c>
      <c r="Z35" s="202" t="s">
        <v>167</v>
      </c>
      <c r="AA35" s="203">
        <v>0.3</v>
      </c>
      <c r="AB35" s="203">
        <v>0.3</v>
      </c>
      <c r="AC35" s="204">
        <v>0.3</v>
      </c>
    </row>
    <row r="36" spans="1:29" x14ac:dyDescent="0.25">
      <c r="A36" s="199"/>
      <c r="B36" s="416"/>
      <c r="C36" s="205" t="s">
        <v>164</v>
      </c>
      <c r="D36" s="200" t="s">
        <v>166</v>
      </c>
      <c r="E36" s="200" t="s">
        <v>166</v>
      </c>
      <c r="F36" s="200" t="s">
        <v>166</v>
      </c>
      <c r="G36" s="200" t="s">
        <v>166</v>
      </c>
      <c r="H36" s="200" t="s">
        <v>169</v>
      </c>
      <c r="I36" s="200" t="s">
        <v>169</v>
      </c>
      <c r="J36" s="200" t="s">
        <v>169</v>
      </c>
      <c r="K36" s="200" t="s">
        <v>169</v>
      </c>
      <c r="L36" s="200" t="s">
        <v>169</v>
      </c>
      <c r="M36" s="200" t="s">
        <v>169</v>
      </c>
      <c r="N36" s="200" t="s">
        <v>169</v>
      </c>
      <c r="O36" s="200" t="s">
        <v>169</v>
      </c>
      <c r="P36" s="200" t="s">
        <v>169</v>
      </c>
      <c r="Q36" s="200" t="s">
        <v>169</v>
      </c>
      <c r="R36" s="200" t="s">
        <v>169</v>
      </c>
      <c r="S36" s="200" t="s">
        <v>169</v>
      </c>
      <c r="T36" s="200" t="s">
        <v>169</v>
      </c>
      <c r="U36" s="200" t="s">
        <v>169</v>
      </c>
      <c r="V36" s="200" t="s">
        <v>169</v>
      </c>
      <c r="W36" s="200" t="s">
        <v>169</v>
      </c>
      <c r="X36" s="200" t="s">
        <v>169</v>
      </c>
      <c r="Y36" s="200" t="s">
        <v>169</v>
      </c>
      <c r="Z36" s="200" t="s">
        <v>169</v>
      </c>
      <c r="AA36" s="146" t="s">
        <v>319</v>
      </c>
      <c r="AB36" s="146" t="s">
        <v>169</v>
      </c>
      <c r="AC36" s="147" t="s">
        <v>166</v>
      </c>
    </row>
    <row r="37" spans="1:29" x14ac:dyDescent="0.25">
      <c r="A37" s="199"/>
      <c r="B37" s="148" t="s">
        <v>31</v>
      </c>
      <c r="C37" s="205" t="s">
        <v>163</v>
      </c>
      <c r="D37" s="200">
        <v>22.766666666666669</v>
      </c>
      <c r="E37" s="200">
        <v>1.9106666666666667</v>
      </c>
      <c r="F37" s="200">
        <v>1.5566666666666666</v>
      </c>
      <c r="G37" s="200">
        <v>0.97233333333333327</v>
      </c>
      <c r="H37" s="200">
        <v>2.6629999999999998</v>
      </c>
      <c r="I37" s="200">
        <v>41.56666666666667</v>
      </c>
      <c r="J37" s="200">
        <v>0.71233333333333337</v>
      </c>
      <c r="K37" s="200">
        <v>85.166666666666671</v>
      </c>
      <c r="L37" s="200" t="s">
        <v>167</v>
      </c>
      <c r="M37" s="200" t="s">
        <v>167</v>
      </c>
      <c r="N37" s="200" t="s">
        <v>167</v>
      </c>
      <c r="O37" s="200" t="s">
        <v>167</v>
      </c>
      <c r="P37" s="200" t="s">
        <v>167</v>
      </c>
      <c r="Q37" s="200" t="s">
        <v>167</v>
      </c>
      <c r="R37" s="200">
        <v>100</v>
      </c>
      <c r="S37" s="200">
        <v>83.333333333333329</v>
      </c>
      <c r="T37" s="200">
        <v>11.666666666666666</v>
      </c>
      <c r="U37" s="200" t="s">
        <v>167</v>
      </c>
      <c r="V37" s="200" t="s">
        <v>167</v>
      </c>
      <c r="W37" s="200" t="s">
        <v>167</v>
      </c>
      <c r="X37" s="200" t="s">
        <v>167</v>
      </c>
      <c r="Y37" s="200" t="s">
        <v>167</v>
      </c>
      <c r="Z37" s="200">
        <v>12.333333333333334</v>
      </c>
      <c r="AA37" s="146">
        <v>2.9444444444444384E-2</v>
      </c>
      <c r="AB37" s="146" t="s">
        <v>320</v>
      </c>
      <c r="AC37" s="147">
        <v>0.5581666666666667</v>
      </c>
    </row>
    <row r="38" spans="1:29" x14ac:dyDescent="0.25">
      <c r="A38" s="199"/>
      <c r="B38" s="416" t="s">
        <v>72</v>
      </c>
      <c r="C38" s="205" t="s">
        <v>160</v>
      </c>
      <c r="D38" s="200" t="s">
        <v>169</v>
      </c>
      <c r="E38" s="200" t="s">
        <v>167</v>
      </c>
      <c r="F38" s="200" t="s">
        <v>167</v>
      </c>
      <c r="G38" s="200" t="s">
        <v>167</v>
      </c>
      <c r="H38" s="200" t="s">
        <v>169</v>
      </c>
      <c r="I38" s="200" t="s">
        <v>169</v>
      </c>
      <c r="J38" s="200" t="s">
        <v>169</v>
      </c>
      <c r="K38" s="200" t="s">
        <v>169</v>
      </c>
      <c r="L38" s="200" t="s">
        <v>169</v>
      </c>
      <c r="M38" s="200" t="s">
        <v>169</v>
      </c>
      <c r="N38" s="200" t="s">
        <v>169</v>
      </c>
      <c r="O38" s="200" t="s">
        <v>169</v>
      </c>
      <c r="P38" s="200" t="s">
        <v>169</v>
      </c>
      <c r="Q38" s="200" t="s">
        <v>169</v>
      </c>
      <c r="R38" s="200" t="s">
        <v>169</v>
      </c>
      <c r="S38" s="200" t="s">
        <v>169</v>
      </c>
      <c r="T38" s="200" t="s">
        <v>169</v>
      </c>
      <c r="U38" s="200" t="s">
        <v>169</v>
      </c>
      <c r="V38" s="200" t="s">
        <v>169</v>
      </c>
      <c r="W38" s="200" t="s">
        <v>169</v>
      </c>
      <c r="X38" s="200" t="s">
        <v>169</v>
      </c>
      <c r="Y38" s="200" t="s">
        <v>169</v>
      </c>
      <c r="Z38" s="200" t="s">
        <v>169</v>
      </c>
      <c r="AA38" s="146">
        <v>0.95</v>
      </c>
      <c r="AB38" s="146"/>
      <c r="AC38" s="147">
        <v>0.95</v>
      </c>
    </row>
    <row r="39" spans="1:29" x14ac:dyDescent="0.25">
      <c r="A39" s="199" t="s">
        <v>230</v>
      </c>
      <c r="B39" s="416"/>
      <c r="C39" s="205" t="s">
        <v>161</v>
      </c>
      <c r="D39" s="200" t="s">
        <v>169</v>
      </c>
      <c r="E39" s="200" t="s">
        <v>167</v>
      </c>
      <c r="F39" s="200" t="s">
        <v>167</v>
      </c>
      <c r="G39" s="200" t="s">
        <v>167</v>
      </c>
      <c r="H39" s="200" t="s">
        <v>169</v>
      </c>
      <c r="I39" s="200" t="s">
        <v>169</v>
      </c>
      <c r="J39" s="200" t="s">
        <v>169</v>
      </c>
      <c r="K39" s="200" t="s">
        <v>169</v>
      </c>
      <c r="L39" s="200" t="s">
        <v>169</v>
      </c>
      <c r="M39" s="200" t="s">
        <v>169</v>
      </c>
      <c r="N39" s="200" t="s">
        <v>169</v>
      </c>
      <c r="O39" s="200" t="s">
        <v>169</v>
      </c>
      <c r="P39" s="200" t="s">
        <v>169</v>
      </c>
      <c r="Q39" s="200" t="s">
        <v>169</v>
      </c>
      <c r="R39" s="200" t="s">
        <v>169</v>
      </c>
      <c r="S39" s="200" t="s">
        <v>169</v>
      </c>
      <c r="T39" s="200" t="s">
        <v>169</v>
      </c>
      <c r="U39" s="200" t="s">
        <v>169</v>
      </c>
      <c r="V39" s="200" t="s">
        <v>169</v>
      </c>
      <c r="W39" s="200" t="s">
        <v>169</v>
      </c>
      <c r="X39" s="200" t="s">
        <v>169</v>
      </c>
      <c r="Y39" s="200" t="s">
        <v>169</v>
      </c>
      <c r="Z39" s="200" t="s">
        <v>169</v>
      </c>
      <c r="AA39" s="146">
        <v>1.9</v>
      </c>
      <c r="AB39" s="146"/>
      <c r="AC39" s="147">
        <v>1.9</v>
      </c>
    </row>
    <row r="40" spans="1:29" x14ac:dyDescent="0.25">
      <c r="A40" s="199"/>
      <c r="B40" s="416"/>
      <c r="C40" s="205" t="s">
        <v>162</v>
      </c>
      <c r="D40" s="200" t="s">
        <v>169</v>
      </c>
      <c r="E40" s="200" t="s">
        <v>167</v>
      </c>
      <c r="F40" s="200" t="s">
        <v>167</v>
      </c>
      <c r="G40" s="200" t="s">
        <v>167</v>
      </c>
      <c r="H40" s="200" t="s">
        <v>169</v>
      </c>
      <c r="I40" s="200" t="s">
        <v>169</v>
      </c>
      <c r="J40" s="200" t="s">
        <v>169</v>
      </c>
      <c r="K40" s="200" t="s">
        <v>169</v>
      </c>
      <c r="L40" s="200" t="s">
        <v>169</v>
      </c>
      <c r="M40" s="200" t="s">
        <v>169</v>
      </c>
      <c r="N40" s="200" t="s">
        <v>169</v>
      </c>
      <c r="O40" s="200" t="s">
        <v>169</v>
      </c>
      <c r="P40" s="200" t="s">
        <v>169</v>
      </c>
      <c r="Q40" s="200" t="s">
        <v>169</v>
      </c>
      <c r="R40" s="200" t="s">
        <v>169</v>
      </c>
      <c r="S40" s="200" t="s">
        <v>169</v>
      </c>
      <c r="T40" s="200" t="s">
        <v>169</v>
      </c>
      <c r="U40" s="200" t="s">
        <v>169</v>
      </c>
      <c r="V40" s="200" t="s">
        <v>169</v>
      </c>
      <c r="W40" s="200" t="s">
        <v>169</v>
      </c>
      <c r="X40" s="200" t="s">
        <v>169</v>
      </c>
      <c r="Y40" s="200" t="s">
        <v>169</v>
      </c>
      <c r="Z40" s="200" t="s">
        <v>169</v>
      </c>
      <c r="AA40" s="146">
        <v>1.6913841728236463</v>
      </c>
      <c r="AB40" s="146"/>
      <c r="AC40" s="147">
        <v>4.130269014271766E-2</v>
      </c>
    </row>
    <row r="41" spans="1:29" x14ac:dyDescent="0.25">
      <c r="A41" s="199"/>
      <c r="B41" s="416"/>
      <c r="C41" s="166" t="s">
        <v>155</v>
      </c>
      <c r="D41" s="146" t="s">
        <v>169</v>
      </c>
      <c r="E41" s="146" t="s">
        <v>167</v>
      </c>
      <c r="F41" s="146" t="s">
        <v>167</v>
      </c>
      <c r="G41" s="146" t="s">
        <v>167</v>
      </c>
      <c r="H41" s="146" t="s">
        <v>169</v>
      </c>
      <c r="I41" s="146" t="s">
        <v>169</v>
      </c>
      <c r="J41" s="146" t="s">
        <v>169</v>
      </c>
      <c r="K41" s="146" t="s">
        <v>169</v>
      </c>
      <c r="L41" s="146" t="s">
        <v>169</v>
      </c>
      <c r="M41" s="146" t="s">
        <v>169</v>
      </c>
      <c r="N41" s="146" t="s">
        <v>169</v>
      </c>
      <c r="O41" s="146" t="s">
        <v>169</v>
      </c>
      <c r="P41" s="146" t="s">
        <v>169</v>
      </c>
      <c r="Q41" s="146" t="s">
        <v>169</v>
      </c>
      <c r="R41" s="146" t="s">
        <v>169</v>
      </c>
      <c r="S41" s="146" t="s">
        <v>169</v>
      </c>
      <c r="T41" s="146" t="s">
        <v>169</v>
      </c>
      <c r="U41" s="146" t="s">
        <v>169</v>
      </c>
      <c r="V41" s="146" t="s">
        <v>169</v>
      </c>
      <c r="W41" s="146" t="s">
        <v>169</v>
      </c>
      <c r="X41" s="146" t="s">
        <v>169</v>
      </c>
      <c r="Y41" s="146" t="s">
        <v>169</v>
      </c>
      <c r="Z41" s="146" t="s">
        <v>169</v>
      </c>
      <c r="AA41" s="146" t="s">
        <v>351</v>
      </c>
      <c r="AB41" s="146" t="s">
        <v>321</v>
      </c>
      <c r="AC41" s="147" t="s">
        <v>322</v>
      </c>
    </row>
    <row r="42" spans="1:29" x14ac:dyDescent="0.25">
      <c r="A42" s="199"/>
      <c r="B42" s="432" t="s">
        <v>73</v>
      </c>
      <c r="C42" s="206" t="s">
        <v>157</v>
      </c>
      <c r="D42" s="207" t="s">
        <v>169</v>
      </c>
      <c r="E42" s="207" t="s">
        <v>167</v>
      </c>
      <c r="F42" s="207" t="s">
        <v>167</v>
      </c>
      <c r="G42" s="207" t="s">
        <v>167</v>
      </c>
      <c r="H42" s="207" t="s">
        <v>169</v>
      </c>
      <c r="I42" s="207" t="s">
        <v>169</v>
      </c>
      <c r="J42" s="207" t="s">
        <v>169</v>
      </c>
      <c r="K42" s="207" t="s">
        <v>169</v>
      </c>
      <c r="L42" s="207" t="s">
        <v>169</v>
      </c>
      <c r="M42" s="207" t="s">
        <v>169</v>
      </c>
      <c r="N42" s="207" t="s">
        <v>169</v>
      </c>
      <c r="O42" s="207" t="s">
        <v>169</v>
      </c>
      <c r="P42" s="207" t="s">
        <v>169</v>
      </c>
      <c r="Q42" s="207" t="s">
        <v>169</v>
      </c>
      <c r="R42" s="207" t="s">
        <v>169</v>
      </c>
      <c r="S42" s="207" t="s">
        <v>169</v>
      </c>
      <c r="T42" s="207" t="s">
        <v>169</v>
      </c>
      <c r="U42" s="207" t="s">
        <v>169</v>
      </c>
      <c r="V42" s="207" t="s">
        <v>169</v>
      </c>
      <c r="W42" s="207" t="s">
        <v>169</v>
      </c>
      <c r="X42" s="207" t="s">
        <v>169</v>
      </c>
      <c r="Y42" s="207" t="s">
        <v>169</v>
      </c>
      <c r="Z42" s="207" t="s">
        <v>169</v>
      </c>
      <c r="AA42" s="146">
        <v>0.85</v>
      </c>
      <c r="AB42" s="146"/>
      <c r="AC42" s="147">
        <v>0.85</v>
      </c>
    </row>
    <row r="43" spans="1:29" x14ac:dyDescent="0.25">
      <c r="A43" s="199"/>
      <c r="B43" s="433"/>
      <c r="C43" s="206" t="s">
        <v>158</v>
      </c>
      <c r="D43" s="207" t="s">
        <v>169</v>
      </c>
      <c r="E43" s="207" t="s">
        <v>167</v>
      </c>
      <c r="F43" s="207" t="s">
        <v>167</v>
      </c>
      <c r="G43" s="207" t="s">
        <v>167</v>
      </c>
      <c r="H43" s="207" t="s">
        <v>169</v>
      </c>
      <c r="I43" s="207" t="s">
        <v>169</v>
      </c>
      <c r="J43" s="207" t="s">
        <v>169</v>
      </c>
      <c r="K43" s="207" t="s">
        <v>169</v>
      </c>
      <c r="L43" s="207" t="s">
        <v>169</v>
      </c>
      <c r="M43" s="207" t="s">
        <v>169</v>
      </c>
      <c r="N43" s="207" t="s">
        <v>169</v>
      </c>
      <c r="O43" s="207" t="s">
        <v>169</v>
      </c>
      <c r="P43" s="207" t="s">
        <v>169</v>
      </c>
      <c r="Q43" s="207" t="s">
        <v>169</v>
      </c>
      <c r="R43" s="207" t="s">
        <v>169</v>
      </c>
      <c r="S43" s="207" t="s">
        <v>169</v>
      </c>
      <c r="T43" s="207" t="s">
        <v>169</v>
      </c>
      <c r="U43" s="207" t="s">
        <v>169</v>
      </c>
      <c r="V43" s="207" t="s">
        <v>169</v>
      </c>
      <c r="W43" s="207" t="s">
        <v>169</v>
      </c>
      <c r="X43" s="207" t="s">
        <v>169</v>
      </c>
      <c r="Y43" s="207" t="s">
        <v>169</v>
      </c>
      <c r="Z43" s="207" t="s">
        <v>169</v>
      </c>
      <c r="AA43" s="146">
        <v>1.1200000000000001</v>
      </c>
      <c r="AB43" s="146"/>
      <c r="AC43" s="147">
        <v>1.1200000000000001</v>
      </c>
    </row>
    <row r="44" spans="1:29" x14ac:dyDescent="0.25">
      <c r="A44" s="199"/>
      <c r="B44" s="433"/>
      <c r="C44" s="206" t="s">
        <v>159</v>
      </c>
      <c r="D44" s="207" t="s">
        <v>169</v>
      </c>
      <c r="E44" s="207" t="s">
        <v>167</v>
      </c>
      <c r="F44" s="207" t="s">
        <v>167</v>
      </c>
      <c r="G44" s="207" t="s">
        <v>167</v>
      </c>
      <c r="H44" s="207" t="s">
        <v>169</v>
      </c>
      <c r="I44" s="207" t="s">
        <v>169</v>
      </c>
      <c r="J44" s="207" t="s">
        <v>169</v>
      </c>
      <c r="K44" s="207" t="s">
        <v>169</v>
      </c>
      <c r="L44" s="207" t="s">
        <v>169</v>
      </c>
      <c r="M44" s="207" t="s">
        <v>169</v>
      </c>
      <c r="N44" s="207" t="s">
        <v>169</v>
      </c>
      <c r="O44" s="207" t="s">
        <v>169</v>
      </c>
      <c r="P44" s="207" t="s">
        <v>169</v>
      </c>
      <c r="Q44" s="207" t="s">
        <v>169</v>
      </c>
      <c r="R44" s="207" t="s">
        <v>169</v>
      </c>
      <c r="S44" s="207" t="s">
        <v>169</v>
      </c>
      <c r="T44" s="207" t="s">
        <v>169</v>
      </c>
      <c r="U44" s="207" t="s">
        <v>169</v>
      </c>
      <c r="V44" s="207" t="s">
        <v>169</v>
      </c>
      <c r="W44" s="207" t="s">
        <v>169</v>
      </c>
      <c r="X44" s="207" t="s">
        <v>169</v>
      </c>
      <c r="Y44" s="207" t="s">
        <v>169</v>
      </c>
      <c r="Z44" s="207" t="s">
        <v>169</v>
      </c>
      <c r="AA44" s="146">
        <v>0.99702645976972848</v>
      </c>
      <c r="AB44" s="146"/>
      <c r="AC44" s="147">
        <v>2.434684892623357E-2</v>
      </c>
    </row>
    <row r="45" spans="1:29" ht="15.75" thickBot="1" x14ac:dyDescent="0.3">
      <c r="A45" s="208"/>
      <c r="B45" s="434"/>
      <c r="C45" s="124" t="s">
        <v>156</v>
      </c>
      <c r="D45" s="160" t="s">
        <v>169</v>
      </c>
      <c r="E45" s="160" t="s">
        <v>167</v>
      </c>
      <c r="F45" s="160" t="s">
        <v>167</v>
      </c>
      <c r="G45" s="160" t="s">
        <v>167</v>
      </c>
      <c r="H45" s="160" t="s">
        <v>169</v>
      </c>
      <c r="I45" s="160" t="s">
        <v>169</v>
      </c>
      <c r="J45" s="160" t="s">
        <v>169</v>
      </c>
      <c r="K45" s="160" t="s">
        <v>169</v>
      </c>
      <c r="L45" s="160" t="s">
        <v>169</v>
      </c>
      <c r="M45" s="160" t="s">
        <v>169</v>
      </c>
      <c r="N45" s="160" t="s">
        <v>169</v>
      </c>
      <c r="O45" s="160" t="s">
        <v>169</v>
      </c>
      <c r="P45" s="160" t="s">
        <v>169</v>
      </c>
      <c r="Q45" s="160" t="s">
        <v>169</v>
      </c>
      <c r="R45" s="160" t="s">
        <v>169</v>
      </c>
      <c r="S45" s="160" t="s">
        <v>169</v>
      </c>
      <c r="T45" s="160" t="s">
        <v>169</v>
      </c>
      <c r="U45" s="160" t="s">
        <v>169</v>
      </c>
      <c r="V45" s="160" t="s">
        <v>169</v>
      </c>
      <c r="W45" s="160" t="s">
        <v>169</v>
      </c>
      <c r="X45" s="160" t="s">
        <v>169</v>
      </c>
      <c r="Y45" s="160" t="s">
        <v>169</v>
      </c>
      <c r="Z45" s="160" t="s">
        <v>169</v>
      </c>
      <c r="AA45" s="160" t="s">
        <v>352</v>
      </c>
      <c r="AB45" s="160" t="s">
        <v>323</v>
      </c>
      <c r="AC45" s="209" t="s">
        <v>324</v>
      </c>
    </row>
    <row r="46" spans="1:29" x14ac:dyDescent="0.25">
      <c r="A46" s="196"/>
      <c r="B46" s="435" t="s">
        <v>30</v>
      </c>
      <c r="C46" s="197" t="s">
        <v>24</v>
      </c>
      <c r="D46" s="198">
        <v>2</v>
      </c>
      <c r="E46" s="198">
        <v>2</v>
      </c>
      <c r="F46" s="198">
        <v>2</v>
      </c>
      <c r="G46" s="198">
        <v>2</v>
      </c>
      <c r="H46" s="198">
        <v>2</v>
      </c>
      <c r="I46" s="198">
        <v>2</v>
      </c>
      <c r="J46" s="198">
        <v>2</v>
      </c>
      <c r="K46" s="198">
        <v>2</v>
      </c>
      <c r="L46" s="198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1</v>
      </c>
      <c r="R46" s="198">
        <v>2</v>
      </c>
      <c r="S46" s="198">
        <v>2</v>
      </c>
      <c r="T46" s="198">
        <v>2</v>
      </c>
      <c r="U46" s="198">
        <v>0</v>
      </c>
      <c r="V46" s="198">
        <v>0</v>
      </c>
      <c r="W46" s="198">
        <v>1</v>
      </c>
      <c r="X46" s="198">
        <v>1</v>
      </c>
      <c r="Y46" s="198">
        <v>1</v>
      </c>
      <c r="Z46" s="198">
        <v>2</v>
      </c>
      <c r="AA46" s="198">
        <v>6</v>
      </c>
      <c r="AB46" s="198">
        <v>6</v>
      </c>
      <c r="AC46" s="112">
        <v>6</v>
      </c>
    </row>
    <row r="47" spans="1:29" x14ac:dyDescent="0.25">
      <c r="A47" s="199"/>
      <c r="B47" s="416"/>
      <c r="C47" s="98" t="s">
        <v>40</v>
      </c>
      <c r="D47" s="200">
        <v>0.56568542494923857</v>
      </c>
      <c r="E47" s="200">
        <v>7.2831998462214387E-2</v>
      </c>
      <c r="F47" s="200">
        <v>1.6263455967290685E-2</v>
      </c>
      <c r="G47" s="200">
        <v>7.2124891681027842E-2</v>
      </c>
      <c r="H47" s="200" t="s">
        <v>167</v>
      </c>
      <c r="I47" s="200">
        <v>0.63639610306789174</v>
      </c>
      <c r="J47" s="200">
        <v>0.13788582233137672</v>
      </c>
      <c r="K47" s="200">
        <v>0.42426406871192446</v>
      </c>
      <c r="L47" s="200" t="s">
        <v>167</v>
      </c>
      <c r="M47" s="200" t="s">
        <v>167</v>
      </c>
      <c r="N47" s="200" t="s">
        <v>167</v>
      </c>
      <c r="O47" s="200" t="s">
        <v>167</v>
      </c>
      <c r="P47" s="200" t="s">
        <v>167</v>
      </c>
      <c r="Q47" s="200" t="s">
        <v>167</v>
      </c>
      <c r="R47" s="200">
        <v>1.4142135623730951</v>
      </c>
      <c r="S47" s="200">
        <v>2.1213203435596424</v>
      </c>
      <c r="T47" s="200" t="s">
        <v>167</v>
      </c>
      <c r="U47" s="200" t="s">
        <v>167</v>
      </c>
      <c r="V47" s="200" t="s">
        <v>167</v>
      </c>
      <c r="W47" s="200" t="s">
        <v>167</v>
      </c>
      <c r="X47" s="200" t="s">
        <v>167</v>
      </c>
      <c r="Y47" s="200" t="s">
        <v>167</v>
      </c>
      <c r="Z47" s="200">
        <v>2.1213203435596424</v>
      </c>
      <c r="AA47" s="146">
        <v>1.7066149894520006E-2</v>
      </c>
      <c r="AB47" s="146"/>
      <c r="AC47" s="147">
        <v>7.9000922990389143E-3</v>
      </c>
    </row>
    <row r="48" spans="1:29" x14ac:dyDescent="0.25">
      <c r="A48" s="199"/>
      <c r="B48" s="416"/>
      <c r="C48" s="98" t="s">
        <v>25</v>
      </c>
      <c r="D48" s="200">
        <v>2.0348396580907865E-2</v>
      </c>
      <c r="E48" s="200">
        <v>3.8647916403403759E-2</v>
      </c>
      <c r="F48" s="200">
        <v>1.1282314233292186E-2</v>
      </c>
      <c r="G48" s="200">
        <v>7.632263669950036E-2</v>
      </c>
      <c r="H48" s="200" t="s">
        <v>167</v>
      </c>
      <c r="I48" s="200">
        <v>1.3849751971009613E-2</v>
      </c>
      <c r="J48" s="200">
        <v>0.179655794568569</v>
      </c>
      <c r="K48" s="200">
        <v>4.8654136320174825E-3</v>
      </c>
      <c r="L48" s="200" t="s">
        <v>167</v>
      </c>
      <c r="M48" s="200" t="s">
        <v>167</v>
      </c>
      <c r="N48" s="200" t="s">
        <v>167</v>
      </c>
      <c r="O48" s="200" t="s">
        <v>167</v>
      </c>
      <c r="P48" s="200" t="s">
        <v>167</v>
      </c>
      <c r="Q48" s="200" t="s">
        <v>167</v>
      </c>
      <c r="R48" s="200">
        <v>1.4284985478516112E-2</v>
      </c>
      <c r="S48" s="200">
        <v>2.5405034054606496E-2</v>
      </c>
      <c r="T48" s="200" t="s">
        <v>167</v>
      </c>
      <c r="U48" s="200" t="s">
        <v>167</v>
      </c>
      <c r="V48" s="200" t="s">
        <v>167</v>
      </c>
      <c r="W48" s="200" t="s">
        <v>167</v>
      </c>
      <c r="X48" s="200" t="s">
        <v>167</v>
      </c>
      <c r="Y48" s="200" t="s">
        <v>167</v>
      </c>
      <c r="Z48" s="200">
        <v>0.38569460791993498</v>
      </c>
      <c r="AA48" s="146">
        <v>0.60233470215953455</v>
      </c>
      <c r="AB48" s="146"/>
      <c r="AC48" s="147">
        <v>1.6746353575069237E-2</v>
      </c>
    </row>
    <row r="49" spans="1:29" x14ac:dyDescent="0.25">
      <c r="A49" s="199"/>
      <c r="B49" s="416"/>
      <c r="C49" s="201" t="s">
        <v>55</v>
      </c>
      <c r="D49" s="202">
        <v>0.15</v>
      </c>
      <c r="E49" s="202">
        <v>0.05</v>
      </c>
      <c r="F49" s="202">
        <v>0.05</v>
      </c>
      <c r="G49" s="202">
        <v>0.05</v>
      </c>
      <c r="H49" s="202" t="s">
        <v>167</v>
      </c>
      <c r="I49" s="202" t="s">
        <v>167</v>
      </c>
      <c r="J49" s="202" t="s">
        <v>167</v>
      </c>
      <c r="K49" s="202" t="s">
        <v>167</v>
      </c>
      <c r="L49" s="202">
        <v>0.3</v>
      </c>
      <c r="M49" s="202">
        <v>0.3</v>
      </c>
      <c r="N49" s="202">
        <v>0.3</v>
      </c>
      <c r="O49" s="202" t="s">
        <v>167</v>
      </c>
      <c r="P49" s="202" t="s">
        <v>167</v>
      </c>
      <c r="Q49" s="202" t="s">
        <v>167</v>
      </c>
      <c r="R49" s="202" t="s">
        <v>167</v>
      </c>
      <c r="S49" s="202" t="s">
        <v>167</v>
      </c>
      <c r="T49" s="202" t="s">
        <v>167</v>
      </c>
      <c r="U49" s="202" t="s">
        <v>167</v>
      </c>
      <c r="V49" s="202">
        <v>0.4</v>
      </c>
      <c r="W49" s="202" t="s">
        <v>167</v>
      </c>
      <c r="X49" s="202" t="s">
        <v>167</v>
      </c>
      <c r="Y49" s="202">
        <v>0.3</v>
      </c>
      <c r="Z49" s="202" t="s">
        <v>167</v>
      </c>
      <c r="AA49" s="203">
        <v>0.3</v>
      </c>
      <c r="AB49" s="203">
        <v>0.3</v>
      </c>
      <c r="AC49" s="204">
        <v>0.3</v>
      </c>
    </row>
    <row r="50" spans="1:29" x14ac:dyDescent="0.25">
      <c r="A50" s="199"/>
      <c r="B50" s="416"/>
      <c r="C50" s="205" t="s">
        <v>164</v>
      </c>
      <c r="D50" s="200" t="s">
        <v>166</v>
      </c>
      <c r="E50" s="200" t="s">
        <v>166</v>
      </c>
      <c r="F50" s="200" t="s">
        <v>166</v>
      </c>
      <c r="G50" s="200" t="s">
        <v>282</v>
      </c>
      <c r="H50" s="200" t="s">
        <v>169</v>
      </c>
      <c r="I50" s="200" t="s">
        <v>169</v>
      </c>
      <c r="J50" s="200" t="s">
        <v>169</v>
      </c>
      <c r="K50" s="200" t="s">
        <v>169</v>
      </c>
      <c r="L50" s="200" t="s">
        <v>169</v>
      </c>
      <c r="M50" s="200" t="s">
        <v>169</v>
      </c>
      <c r="N50" s="200" t="s">
        <v>169</v>
      </c>
      <c r="O50" s="200" t="s">
        <v>169</v>
      </c>
      <c r="P50" s="200" t="s">
        <v>169</v>
      </c>
      <c r="Q50" s="200" t="s">
        <v>169</v>
      </c>
      <c r="R50" s="200" t="s">
        <v>169</v>
      </c>
      <c r="S50" s="200" t="s">
        <v>169</v>
      </c>
      <c r="T50" s="200" t="s">
        <v>169</v>
      </c>
      <c r="U50" s="200" t="s">
        <v>169</v>
      </c>
      <c r="V50" s="200" t="s">
        <v>169</v>
      </c>
      <c r="W50" s="200" t="s">
        <v>169</v>
      </c>
      <c r="X50" s="200" t="s">
        <v>169</v>
      </c>
      <c r="Y50" s="200" t="s">
        <v>169</v>
      </c>
      <c r="Z50" s="200" t="s">
        <v>169</v>
      </c>
      <c r="AA50" s="146" t="s">
        <v>319</v>
      </c>
      <c r="AB50" s="146" t="s">
        <v>169</v>
      </c>
      <c r="AC50" s="147" t="s">
        <v>166</v>
      </c>
    </row>
    <row r="51" spans="1:29" x14ac:dyDescent="0.25">
      <c r="A51" s="199"/>
      <c r="B51" s="148" t="s">
        <v>31</v>
      </c>
      <c r="C51" s="205" t="s">
        <v>163</v>
      </c>
      <c r="D51" s="200">
        <v>27.799999999999997</v>
      </c>
      <c r="E51" s="200">
        <v>1.8845000000000001</v>
      </c>
      <c r="F51" s="200">
        <v>1.4415</v>
      </c>
      <c r="G51" s="200">
        <v>0.94500000000000006</v>
      </c>
      <c r="H51" s="200">
        <v>2.6669999999999998</v>
      </c>
      <c r="I51" s="200">
        <v>45.95</v>
      </c>
      <c r="J51" s="200">
        <v>0.76750000000000007</v>
      </c>
      <c r="K51" s="200">
        <v>87.2</v>
      </c>
      <c r="L51" s="200" t="s">
        <v>167</v>
      </c>
      <c r="M51" s="200" t="s">
        <v>167</v>
      </c>
      <c r="N51" s="200" t="s">
        <v>167</v>
      </c>
      <c r="O51" s="200" t="s">
        <v>167</v>
      </c>
      <c r="P51" s="200" t="s">
        <v>167</v>
      </c>
      <c r="Q51" s="200" t="s">
        <v>167</v>
      </c>
      <c r="R51" s="200">
        <v>99</v>
      </c>
      <c r="S51" s="200">
        <v>83.5</v>
      </c>
      <c r="T51" s="200">
        <v>17</v>
      </c>
      <c r="U51" s="200" t="s">
        <v>167</v>
      </c>
      <c r="V51" s="200" t="s">
        <v>167</v>
      </c>
      <c r="W51" s="200">
        <v>0.13800000000000001</v>
      </c>
      <c r="X51" s="200">
        <v>0.04</v>
      </c>
      <c r="Y51" s="200">
        <v>26.567</v>
      </c>
      <c r="Z51" s="200">
        <v>5.5</v>
      </c>
      <c r="AA51" s="146">
        <v>2.8333333333333099E-2</v>
      </c>
      <c r="AB51" s="146" t="s">
        <v>325</v>
      </c>
      <c r="AC51" s="147">
        <v>0.47175000000000006</v>
      </c>
    </row>
    <row r="52" spans="1:29" x14ac:dyDescent="0.25">
      <c r="A52" s="199"/>
      <c r="B52" s="416" t="s">
        <v>72</v>
      </c>
      <c r="C52" s="205" t="s">
        <v>160</v>
      </c>
      <c r="D52" s="200" t="s">
        <v>169</v>
      </c>
      <c r="E52" s="200" t="s">
        <v>167</v>
      </c>
      <c r="F52" s="200" t="s">
        <v>167</v>
      </c>
      <c r="G52" s="200" t="s">
        <v>167</v>
      </c>
      <c r="H52" s="200" t="s">
        <v>169</v>
      </c>
      <c r="I52" s="200" t="s">
        <v>169</v>
      </c>
      <c r="J52" s="200" t="s">
        <v>169</v>
      </c>
      <c r="K52" s="200" t="s">
        <v>169</v>
      </c>
      <c r="L52" s="200" t="s">
        <v>169</v>
      </c>
      <c r="M52" s="200" t="s">
        <v>169</v>
      </c>
      <c r="N52" s="200" t="s">
        <v>169</v>
      </c>
      <c r="O52" s="200" t="s">
        <v>169</v>
      </c>
      <c r="P52" s="200" t="s">
        <v>169</v>
      </c>
      <c r="Q52" s="200" t="s">
        <v>169</v>
      </c>
      <c r="R52" s="200" t="s">
        <v>169</v>
      </c>
      <c r="S52" s="200" t="s">
        <v>169</v>
      </c>
      <c r="T52" s="200" t="s">
        <v>169</v>
      </c>
      <c r="U52" s="200" t="s">
        <v>169</v>
      </c>
      <c r="V52" s="200" t="s">
        <v>169</v>
      </c>
      <c r="W52" s="200" t="s">
        <v>169</v>
      </c>
      <c r="X52" s="200" t="s">
        <v>169</v>
      </c>
      <c r="Y52" s="200" t="s">
        <v>169</v>
      </c>
      <c r="Z52" s="200" t="s">
        <v>169</v>
      </c>
      <c r="AA52" s="146">
        <v>0.95</v>
      </c>
      <c r="AB52" s="146"/>
      <c r="AC52" s="147">
        <v>0.95</v>
      </c>
    </row>
    <row r="53" spans="1:29" x14ac:dyDescent="0.25">
      <c r="A53" s="199" t="s">
        <v>227</v>
      </c>
      <c r="B53" s="416"/>
      <c r="C53" s="205" t="s">
        <v>161</v>
      </c>
      <c r="D53" s="200" t="s">
        <v>169</v>
      </c>
      <c r="E53" s="200" t="s">
        <v>167</v>
      </c>
      <c r="F53" s="200" t="s">
        <v>167</v>
      </c>
      <c r="G53" s="200" t="s">
        <v>167</v>
      </c>
      <c r="H53" s="200" t="s">
        <v>169</v>
      </c>
      <c r="I53" s="200" t="s">
        <v>169</v>
      </c>
      <c r="J53" s="200" t="s">
        <v>169</v>
      </c>
      <c r="K53" s="200" t="s">
        <v>169</v>
      </c>
      <c r="L53" s="200" t="s">
        <v>169</v>
      </c>
      <c r="M53" s="200" t="s">
        <v>169</v>
      </c>
      <c r="N53" s="200" t="s">
        <v>169</v>
      </c>
      <c r="O53" s="200" t="s">
        <v>169</v>
      </c>
      <c r="P53" s="200" t="s">
        <v>169</v>
      </c>
      <c r="Q53" s="200" t="s">
        <v>169</v>
      </c>
      <c r="R53" s="200" t="s">
        <v>169</v>
      </c>
      <c r="S53" s="200" t="s">
        <v>169</v>
      </c>
      <c r="T53" s="200" t="s">
        <v>169</v>
      </c>
      <c r="U53" s="200" t="s">
        <v>169</v>
      </c>
      <c r="V53" s="200" t="s">
        <v>169</v>
      </c>
      <c r="W53" s="200" t="s">
        <v>169</v>
      </c>
      <c r="X53" s="200" t="s">
        <v>169</v>
      </c>
      <c r="Y53" s="200" t="s">
        <v>169</v>
      </c>
      <c r="Z53" s="200" t="s">
        <v>169</v>
      </c>
      <c r="AA53" s="146">
        <v>2.13</v>
      </c>
      <c r="AB53" s="146"/>
      <c r="AC53" s="147">
        <v>2.13</v>
      </c>
    </row>
    <row r="54" spans="1:29" x14ac:dyDescent="0.25">
      <c r="A54" s="199"/>
      <c r="B54" s="416"/>
      <c r="C54" s="205" t="s">
        <v>162</v>
      </c>
      <c r="D54" s="200" t="s">
        <v>169</v>
      </c>
      <c r="E54" s="200" t="s">
        <v>167</v>
      </c>
      <c r="F54" s="200" t="s">
        <v>167</v>
      </c>
      <c r="G54" s="200" t="s">
        <v>167</v>
      </c>
      <c r="H54" s="200" t="s">
        <v>169</v>
      </c>
      <c r="I54" s="200" t="s">
        <v>169</v>
      </c>
      <c r="J54" s="200" t="s">
        <v>169</v>
      </c>
      <c r="K54" s="200" t="s">
        <v>169</v>
      </c>
      <c r="L54" s="200" t="s">
        <v>169</v>
      </c>
      <c r="M54" s="200" t="s">
        <v>169</v>
      </c>
      <c r="N54" s="200" t="s">
        <v>169</v>
      </c>
      <c r="O54" s="200" t="s">
        <v>169</v>
      </c>
      <c r="P54" s="200" t="s">
        <v>169</v>
      </c>
      <c r="Q54" s="200" t="s">
        <v>169</v>
      </c>
      <c r="R54" s="200" t="s">
        <v>169</v>
      </c>
      <c r="S54" s="200" t="s">
        <v>169</v>
      </c>
      <c r="T54" s="200" t="s">
        <v>169</v>
      </c>
      <c r="U54" s="200" t="s">
        <v>169</v>
      </c>
      <c r="V54" s="200" t="s">
        <v>169</v>
      </c>
      <c r="W54" s="200" t="s">
        <v>169</v>
      </c>
      <c r="X54" s="200" t="s">
        <v>169</v>
      </c>
      <c r="Y54" s="200" t="s">
        <v>169</v>
      </c>
      <c r="Z54" s="200" t="s">
        <v>169</v>
      </c>
      <c r="AA54" s="146">
        <v>1.2829729155998086</v>
      </c>
      <c r="AB54" s="146"/>
      <c r="AC54" s="147">
        <v>3.5669733114897476E-2</v>
      </c>
    </row>
    <row r="55" spans="1:29" x14ac:dyDescent="0.25">
      <c r="A55" s="199"/>
      <c r="B55" s="416"/>
      <c r="C55" s="166" t="s">
        <v>155</v>
      </c>
      <c r="D55" s="146" t="s">
        <v>169</v>
      </c>
      <c r="E55" s="146" t="s">
        <v>167</v>
      </c>
      <c r="F55" s="146" t="s">
        <v>167</v>
      </c>
      <c r="G55" s="146" t="s">
        <v>167</v>
      </c>
      <c r="H55" s="146" t="s">
        <v>169</v>
      </c>
      <c r="I55" s="146" t="s">
        <v>169</v>
      </c>
      <c r="J55" s="146" t="s">
        <v>169</v>
      </c>
      <c r="K55" s="146" t="s">
        <v>169</v>
      </c>
      <c r="L55" s="146" t="s">
        <v>169</v>
      </c>
      <c r="M55" s="146" t="s">
        <v>169</v>
      </c>
      <c r="N55" s="146" t="s">
        <v>169</v>
      </c>
      <c r="O55" s="146" t="s">
        <v>169</v>
      </c>
      <c r="P55" s="146" t="s">
        <v>169</v>
      </c>
      <c r="Q55" s="146" t="s">
        <v>169</v>
      </c>
      <c r="R55" s="146" t="s">
        <v>169</v>
      </c>
      <c r="S55" s="146" t="s">
        <v>169</v>
      </c>
      <c r="T55" s="146" t="s">
        <v>169</v>
      </c>
      <c r="U55" s="146" t="s">
        <v>169</v>
      </c>
      <c r="V55" s="146" t="s">
        <v>169</v>
      </c>
      <c r="W55" s="146" t="s">
        <v>169</v>
      </c>
      <c r="X55" s="146" t="s">
        <v>169</v>
      </c>
      <c r="Y55" s="146" t="s">
        <v>169</v>
      </c>
      <c r="Z55" s="146" t="s">
        <v>169</v>
      </c>
      <c r="AA55" s="146" t="s">
        <v>353</v>
      </c>
      <c r="AB55" s="146" t="s">
        <v>326</v>
      </c>
      <c r="AC55" s="147" t="s">
        <v>327</v>
      </c>
    </row>
    <row r="56" spans="1:29" x14ac:dyDescent="0.25">
      <c r="A56" s="199"/>
      <c r="B56" s="432" t="s">
        <v>73</v>
      </c>
      <c r="C56" s="206" t="s">
        <v>157</v>
      </c>
      <c r="D56" s="207" t="s">
        <v>169</v>
      </c>
      <c r="E56" s="207" t="s">
        <v>167</v>
      </c>
      <c r="F56" s="207" t="s">
        <v>167</v>
      </c>
      <c r="G56" s="207" t="s">
        <v>167</v>
      </c>
      <c r="H56" s="207" t="s">
        <v>169</v>
      </c>
      <c r="I56" s="207" t="s">
        <v>169</v>
      </c>
      <c r="J56" s="207" t="s">
        <v>169</v>
      </c>
      <c r="K56" s="207" t="s">
        <v>169</v>
      </c>
      <c r="L56" s="207" t="s">
        <v>169</v>
      </c>
      <c r="M56" s="207" t="s">
        <v>169</v>
      </c>
      <c r="N56" s="207" t="s">
        <v>169</v>
      </c>
      <c r="O56" s="207" t="s">
        <v>169</v>
      </c>
      <c r="P56" s="207" t="s">
        <v>169</v>
      </c>
      <c r="Q56" s="207" t="s">
        <v>169</v>
      </c>
      <c r="R56" s="207" t="s">
        <v>169</v>
      </c>
      <c r="S56" s="207" t="s">
        <v>169</v>
      </c>
      <c r="T56" s="207" t="s">
        <v>169</v>
      </c>
      <c r="U56" s="207" t="s">
        <v>169</v>
      </c>
      <c r="V56" s="207" t="s">
        <v>169</v>
      </c>
      <c r="W56" s="207" t="s">
        <v>169</v>
      </c>
      <c r="X56" s="207" t="s">
        <v>169</v>
      </c>
      <c r="Y56" s="207" t="s">
        <v>169</v>
      </c>
      <c r="Z56" s="207" t="s">
        <v>169</v>
      </c>
      <c r="AA56" s="146">
        <v>0.85</v>
      </c>
      <c r="AB56" s="146"/>
      <c r="AC56" s="147">
        <v>0.85</v>
      </c>
    </row>
    <row r="57" spans="1:29" x14ac:dyDescent="0.25">
      <c r="A57" s="199"/>
      <c r="B57" s="433"/>
      <c r="C57" s="206" t="s">
        <v>158</v>
      </c>
      <c r="D57" s="207" t="s">
        <v>169</v>
      </c>
      <c r="E57" s="207" t="s">
        <v>167</v>
      </c>
      <c r="F57" s="207" t="s">
        <v>167</v>
      </c>
      <c r="G57" s="207" t="s">
        <v>167</v>
      </c>
      <c r="H57" s="207" t="s">
        <v>169</v>
      </c>
      <c r="I57" s="207" t="s">
        <v>169</v>
      </c>
      <c r="J57" s="207" t="s">
        <v>169</v>
      </c>
      <c r="K57" s="207" t="s">
        <v>169</v>
      </c>
      <c r="L57" s="207" t="s">
        <v>169</v>
      </c>
      <c r="M57" s="207" t="s">
        <v>169</v>
      </c>
      <c r="N57" s="207" t="s">
        <v>169</v>
      </c>
      <c r="O57" s="207" t="s">
        <v>169</v>
      </c>
      <c r="P57" s="207" t="s">
        <v>169</v>
      </c>
      <c r="Q57" s="207" t="s">
        <v>169</v>
      </c>
      <c r="R57" s="207" t="s">
        <v>169</v>
      </c>
      <c r="S57" s="207" t="s">
        <v>169</v>
      </c>
      <c r="T57" s="207" t="s">
        <v>169</v>
      </c>
      <c r="U57" s="207" t="s">
        <v>169</v>
      </c>
      <c r="V57" s="207" t="s">
        <v>169</v>
      </c>
      <c r="W57" s="207" t="s">
        <v>169</v>
      </c>
      <c r="X57" s="207" t="s">
        <v>169</v>
      </c>
      <c r="Y57" s="207" t="s">
        <v>169</v>
      </c>
      <c r="Z57" s="207" t="s">
        <v>169</v>
      </c>
      <c r="AA57" s="146">
        <v>1.19</v>
      </c>
      <c r="AB57" s="146"/>
      <c r="AC57" s="147">
        <v>1.19</v>
      </c>
    </row>
    <row r="58" spans="1:29" x14ac:dyDescent="0.25">
      <c r="A58" s="199"/>
      <c r="B58" s="433"/>
      <c r="C58" s="206" t="s">
        <v>159</v>
      </c>
      <c r="D58" s="207" t="s">
        <v>169</v>
      </c>
      <c r="E58" s="207" t="s">
        <v>167</v>
      </c>
      <c r="F58" s="207" t="s">
        <v>167</v>
      </c>
      <c r="G58" s="207" t="s">
        <v>167</v>
      </c>
      <c r="H58" s="207" t="s">
        <v>169</v>
      </c>
      <c r="I58" s="207" t="s">
        <v>169</v>
      </c>
      <c r="J58" s="207" t="s">
        <v>169</v>
      </c>
      <c r="K58" s="207" t="s">
        <v>169</v>
      </c>
      <c r="L58" s="207" t="s">
        <v>169</v>
      </c>
      <c r="M58" s="207" t="s">
        <v>169</v>
      </c>
      <c r="N58" s="207" t="s">
        <v>169</v>
      </c>
      <c r="O58" s="207" t="s">
        <v>169</v>
      </c>
      <c r="P58" s="207" t="s">
        <v>169</v>
      </c>
      <c r="Q58" s="207" t="s">
        <v>169</v>
      </c>
      <c r="R58" s="207" t="s">
        <v>169</v>
      </c>
      <c r="S58" s="207" t="s">
        <v>169</v>
      </c>
      <c r="T58" s="207" t="s">
        <v>169</v>
      </c>
      <c r="U58" s="207" t="s">
        <v>169</v>
      </c>
      <c r="V58" s="207" t="s">
        <v>169</v>
      </c>
      <c r="W58" s="207" t="s">
        <v>169</v>
      </c>
      <c r="X58" s="207" t="s">
        <v>169</v>
      </c>
      <c r="Y58" s="207" t="s">
        <v>169</v>
      </c>
      <c r="Z58" s="207" t="s">
        <v>169</v>
      </c>
      <c r="AA58" s="146">
        <v>0.71677829556984607</v>
      </c>
      <c r="AB58" s="146"/>
      <c r="AC58" s="147">
        <v>1.9928160754332392E-2</v>
      </c>
    </row>
    <row r="59" spans="1:29" ht="15.75" thickBot="1" x14ac:dyDescent="0.3">
      <c r="A59" s="208"/>
      <c r="B59" s="434"/>
      <c r="C59" s="124" t="s">
        <v>156</v>
      </c>
      <c r="D59" s="160" t="s">
        <v>169</v>
      </c>
      <c r="E59" s="160" t="s">
        <v>167</v>
      </c>
      <c r="F59" s="160" t="s">
        <v>167</v>
      </c>
      <c r="G59" s="160" t="s">
        <v>167</v>
      </c>
      <c r="H59" s="160" t="s">
        <v>169</v>
      </c>
      <c r="I59" s="160" t="s">
        <v>169</v>
      </c>
      <c r="J59" s="160" t="s">
        <v>169</v>
      </c>
      <c r="K59" s="160" t="s">
        <v>169</v>
      </c>
      <c r="L59" s="160" t="s">
        <v>169</v>
      </c>
      <c r="M59" s="160" t="s">
        <v>169</v>
      </c>
      <c r="N59" s="160" t="s">
        <v>169</v>
      </c>
      <c r="O59" s="160" t="s">
        <v>169</v>
      </c>
      <c r="P59" s="160" t="s">
        <v>169</v>
      </c>
      <c r="Q59" s="160" t="s">
        <v>169</v>
      </c>
      <c r="R59" s="160" t="s">
        <v>169</v>
      </c>
      <c r="S59" s="160" t="s">
        <v>169</v>
      </c>
      <c r="T59" s="160" t="s">
        <v>169</v>
      </c>
      <c r="U59" s="160" t="s">
        <v>169</v>
      </c>
      <c r="V59" s="160" t="s">
        <v>169</v>
      </c>
      <c r="W59" s="160" t="s">
        <v>169</v>
      </c>
      <c r="X59" s="160" t="s">
        <v>169</v>
      </c>
      <c r="Y59" s="160" t="s">
        <v>169</v>
      </c>
      <c r="Z59" s="160" t="s">
        <v>169</v>
      </c>
      <c r="AA59" s="160" t="s">
        <v>354</v>
      </c>
      <c r="AB59" s="160" t="s">
        <v>328</v>
      </c>
      <c r="AC59" s="209" t="s">
        <v>329</v>
      </c>
    </row>
    <row r="60" spans="1:29" x14ac:dyDescent="0.25">
      <c r="A60" s="196"/>
      <c r="B60" s="435" t="s">
        <v>30</v>
      </c>
      <c r="C60" s="197" t="s">
        <v>24</v>
      </c>
      <c r="D60" s="198">
        <v>5</v>
      </c>
      <c r="E60" s="198">
        <v>5</v>
      </c>
      <c r="F60" s="198">
        <v>5</v>
      </c>
      <c r="G60" s="198">
        <v>5</v>
      </c>
      <c r="H60" s="198">
        <v>5</v>
      </c>
      <c r="I60" s="198">
        <v>5</v>
      </c>
      <c r="J60" s="198">
        <v>5</v>
      </c>
      <c r="K60" s="198">
        <v>5</v>
      </c>
      <c r="L60" s="198">
        <v>5</v>
      </c>
      <c r="M60" s="198">
        <v>5</v>
      </c>
      <c r="N60" s="198">
        <v>5</v>
      </c>
      <c r="O60" s="198">
        <v>5</v>
      </c>
      <c r="P60" s="198">
        <v>0</v>
      </c>
      <c r="Q60" s="198">
        <v>0</v>
      </c>
      <c r="R60" s="198">
        <v>5</v>
      </c>
      <c r="S60" s="198">
        <v>5</v>
      </c>
      <c r="T60" s="198">
        <v>5</v>
      </c>
      <c r="U60" s="198">
        <v>5</v>
      </c>
      <c r="V60" s="198">
        <v>2</v>
      </c>
      <c r="W60" s="198">
        <v>2</v>
      </c>
      <c r="X60" s="198">
        <v>2</v>
      </c>
      <c r="Y60" s="198">
        <v>2</v>
      </c>
      <c r="Z60" s="198">
        <v>5</v>
      </c>
      <c r="AA60" s="198">
        <v>15</v>
      </c>
      <c r="AB60" s="198">
        <v>15</v>
      </c>
      <c r="AC60" s="112">
        <v>15</v>
      </c>
    </row>
    <row r="61" spans="1:29" x14ac:dyDescent="0.25">
      <c r="A61" s="199"/>
      <c r="B61" s="416"/>
      <c r="C61" s="98" t="s">
        <v>40</v>
      </c>
      <c r="D61" s="200">
        <v>3.1591137997862626</v>
      </c>
      <c r="E61" s="200">
        <v>4.2029751367335014E-2</v>
      </c>
      <c r="F61" s="200">
        <v>6.9313057932831074E-2</v>
      </c>
      <c r="G61" s="200">
        <v>4.3905580510909994E-2</v>
      </c>
      <c r="H61" s="200">
        <v>2.4899799195978556E-3</v>
      </c>
      <c r="I61" s="200">
        <v>2.5410627697874753</v>
      </c>
      <c r="J61" s="200">
        <v>8.1792420186714149E-2</v>
      </c>
      <c r="K61" s="200">
        <v>1.0526157893552595</v>
      </c>
      <c r="L61" s="200">
        <v>1.1738824472663349</v>
      </c>
      <c r="M61" s="200">
        <v>0.41472882706655473</v>
      </c>
      <c r="N61" s="200">
        <v>0.81055536516637816</v>
      </c>
      <c r="O61" s="200">
        <v>0.10488088481701516</v>
      </c>
      <c r="P61" s="200" t="s">
        <v>167</v>
      </c>
      <c r="Q61" s="200" t="s">
        <v>167</v>
      </c>
      <c r="R61" s="200" t="s">
        <v>167</v>
      </c>
      <c r="S61" s="200">
        <v>1.3038404810405297</v>
      </c>
      <c r="T61" s="200">
        <v>1.5811388300841898</v>
      </c>
      <c r="U61" s="200">
        <v>0.54772255750516607</v>
      </c>
      <c r="V61" s="200">
        <v>1.7677669529663782E-2</v>
      </c>
      <c r="W61" s="200">
        <v>6.3639610306789329E-3</v>
      </c>
      <c r="X61" s="200">
        <v>2.1213203435596394E-3</v>
      </c>
      <c r="Y61" s="200">
        <v>0.28425692603699282</v>
      </c>
      <c r="Z61" s="200">
        <v>4.9295030175464944</v>
      </c>
      <c r="AA61" s="146">
        <v>7.086117280969749E-2</v>
      </c>
      <c r="AB61" s="146"/>
      <c r="AC61" s="147">
        <v>3.2802349040337075E-2</v>
      </c>
    </row>
    <row r="62" spans="1:29" x14ac:dyDescent="0.25">
      <c r="A62" s="199"/>
      <c r="B62" s="416"/>
      <c r="C62" s="98" t="s">
        <v>25</v>
      </c>
      <c r="D62" s="200">
        <v>0.10708860338258518</v>
      </c>
      <c r="E62" s="200">
        <v>2.2109285306330884E-2</v>
      </c>
      <c r="F62" s="200">
        <v>4.717099355711929E-2</v>
      </c>
      <c r="G62" s="200">
        <v>4.7661290176845415E-2</v>
      </c>
      <c r="H62" s="200">
        <v>9.2916632569514722E-4</v>
      </c>
      <c r="I62" s="200">
        <v>5.6243089194056559E-2</v>
      </c>
      <c r="J62" s="200">
        <v>9.8902563708239605E-2</v>
      </c>
      <c r="K62" s="200">
        <v>1.1017540185841107E-2</v>
      </c>
      <c r="L62" s="200">
        <v>2.5497012321162794E-2</v>
      </c>
      <c r="M62" s="200">
        <v>2.0210956484724891E-2</v>
      </c>
      <c r="N62" s="200">
        <v>3.1761573870155886E-2</v>
      </c>
      <c r="O62" s="200">
        <v>0.29965967090575762</v>
      </c>
      <c r="P62" s="200" t="s">
        <v>167</v>
      </c>
      <c r="Q62" s="200" t="s">
        <v>167</v>
      </c>
      <c r="R62" s="200" t="s">
        <v>167</v>
      </c>
      <c r="S62" s="200">
        <v>1.3900218347980062E-2</v>
      </c>
      <c r="T62" s="200">
        <v>2.0271010642104997E-2</v>
      </c>
      <c r="U62" s="200">
        <v>2.1563880216738822E-2</v>
      </c>
      <c r="V62" s="200">
        <v>1.6107215972358795E-2</v>
      </c>
      <c r="W62" s="200">
        <v>4.2285455353348392E-2</v>
      </c>
      <c r="X62" s="200">
        <v>4.8765984909416998E-2</v>
      </c>
      <c r="Y62" s="200">
        <v>8.5948334301996429E-3</v>
      </c>
      <c r="Z62" s="200">
        <v>0.42495715668504264</v>
      </c>
      <c r="AA62" s="146">
        <v>0.41071004333286804</v>
      </c>
      <c r="AB62" s="146"/>
      <c r="AC62" s="147">
        <v>0.12448709313220904</v>
      </c>
    </row>
    <row r="63" spans="1:29" x14ac:dyDescent="0.25">
      <c r="A63" s="199"/>
      <c r="B63" s="416"/>
      <c r="C63" s="201" t="s">
        <v>55</v>
      </c>
      <c r="D63" s="202">
        <v>0.15</v>
      </c>
      <c r="E63" s="202">
        <v>0.05</v>
      </c>
      <c r="F63" s="202">
        <v>0.05</v>
      </c>
      <c r="G63" s="202">
        <v>0.05</v>
      </c>
      <c r="H63" s="202" t="s">
        <v>167</v>
      </c>
      <c r="I63" s="202" t="s">
        <v>167</v>
      </c>
      <c r="J63" s="202" t="s">
        <v>167</v>
      </c>
      <c r="K63" s="202" t="s">
        <v>167</v>
      </c>
      <c r="L63" s="202">
        <v>0.3</v>
      </c>
      <c r="M63" s="202">
        <v>0.3</v>
      </c>
      <c r="N63" s="202">
        <v>0.3</v>
      </c>
      <c r="O63" s="202" t="s">
        <v>167</v>
      </c>
      <c r="P63" s="202" t="s">
        <v>167</v>
      </c>
      <c r="Q63" s="202" t="s">
        <v>167</v>
      </c>
      <c r="R63" s="202" t="s">
        <v>167</v>
      </c>
      <c r="S63" s="202" t="s">
        <v>167</v>
      </c>
      <c r="T63" s="202" t="s">
        <v>167</v>
      </c>
      <c r="U63" s="202" t="s">
        <v>167</v>
      </c>
      <c r="V63" s="202">
        <v>0.4</v>
      </c>
      <c r="W63" s="202" t="s">
        <v>167</v>
      </c>
      <c r="X63" s="202" t="s">
        <v>167</v>
      </c>
      <c r="Y63" s="202">
        <v>0.3</v>
      </c>
      <c r="Z63" s="202" t="s">
        <v>167</v>
      </c>
      <c r="AA63" s="203">
        <v>0.3</v>
      </c>
      <c r="AB63" s="203">
        <v>0.3</v>
      </c>
      <c r="AC63" s="204">
        <v>0.3</v>
      </c>
    </row>
    <row r="64" spans="1:29" x14ac:dyDescent="0.25">
      <c r="A64" s="199"/>
      <c r="B64" s="416"/>
      <c r="C64" s="205" t="s">
        <v>164</v>
      </c>
      <c r="D64" s="200" t="s">
        <v>166</v>
      </c>
      <c r="E64" s="200" t="s">
        <v>166</v>
      </c>
      <c r="F64" s="200" t="s">
        <v>166</v>
      </c>
      <c r="G64" s="200" t="s">
        <v>166</v>
      </c>
      <c r="H64" s="200" t="s">
        <v>169</v>
      </c>
      <c r="I64" s="200" t="s">
        <v>169</v>
      </c>
      <c r="J64" s="200" t="s">
        <v>169</v>
      </c>
      <c r="K64" s="200" t="s">
        <v>169</v>
      </c>
      <c r="L64" s="200" t="s">
        <v>166</v>
      </c>
      <c r="M64" s="200" t="s">
        <v>166</v>
      </c>
      <c r="N64" s="200" t="s">
        <v>166</v>
      </c>
      <c r="O64" s="200" t="s">
        <v>169</v>
      </c>
      <c r="P64" s="200" t="s">
        <v>169</v>
      </c>
      <c r="Q64" s="200" t="s">
        <v>169</v>
      </c>
      <c r="R64" s="200" t="s">
        <v>169</v>
      </c>
      <c r="S64" s="200" t="s">
        <v>169</v>
      </c>
      <c r="T64" s="200" t="s">
        <v>169</v>
      </c>
      <c r="U64" s="200" t="s">
        <v>169</v>
      </c>
      <c r="V64" s="200" t="s">
        <v>166</v>
      </c>
      <c r="W64" s="200" t="s">
        <v>169</v>
      </c>
      <c r="X64" s="200" t="s">
        <v>169</v>
      </c>
      <c r="Y64" s="200" t="s">
        <v>166</v>
      </c>
      <c r="Z64" s="200" t="s">
        <v>169</v>
      </c>
      <c r="AA64" s="146" t="s">
        <v>319</v>
      </c>
      <c r="AB64" s="146" t="s">
        <v>169</v>
      </c>
      <c r="AC64" s="147" t="s">
        <v>166</v>
      </c>
    </row>
    <row r="65" spans="1:29" x14ac:dyDescent="0.25">
      <c r="A65" s="199"/>
      <c r="B65" s="148" t="s">
        <v>31</v>
      </c>
      <c r="C65" s="205" t="s">
        <v>163</v>
      </c>
      <c r="D65" s="200">
        <v>29.5</v>
      </c>
      <c r="E65" s="200">
        <v>1.9010000000000002</v>
      </c>
      <c r="F65" s="200">
        <v>1.4693999999999998</v>
      </c>
      <c r="G65" s="200">
        <v>0.92120000000000002</v>
      </c>
      <c r="H65" s="200">
        <v>2.6798000000000002</v>
      </c>
      <c r="I65" s="200">
        <v>45.18</v>
      </c>
      <c r="J65" s="200">
        <v>0.82699999999999996</v>
      </c>
      <c r="K65" s="200">
        <v>95.54</v>
      </c>
      <c r="L65" s="200">
        <v>46.04</v>
      </c>
      <c r="M65" s="200">
        <v>20.52</v>
      </c>
      <c r="N65" s="200">
        <v>25.52</v>
      </c>
      <c r="O65" s="200">
        <v>0.35</v>
      </c>
      <c r="P65" s="200" t="s">
        <v>167</v>
      </c>
      <c r="Q65" s="200" t="s">
        <v>167</v>
      </c>
      <c r="R65" s="200">
        <v>100</v>
      </c>
      <c r="S65" s="200">
        <v>93.8</v>
      </c>
      <c r="T65" s="200">
        <v>78</v>
      </c>
      <c r="U65" s="200">
        <v>25.4</v>
      </c>
      <c r="V65" s="200">
        <v>1.0975000000000001</v>
      </c>
      <c r="W65" s="200">
        <v>0.15049999999999999</v>
      </c>
      <c r="X65" s="200">
        <v>4.3499999999999997E-2</v>
      </c>
      <c r="Y65" s="200">
        <v>33.073</v>
      </c>
      <c r="Z65" s="200">
        <v>11.6</v>
      </c>
      <c r="AA65" s="146">
        <v>0.17253333333333332</v>
      </c>
      <c r="AB65" s="146" t="s">
        <v>341</v>
      </c>
      <c r="AC65" s="147">
        <v>0.26349999999999996</v>
      </c>
    </row>
    <row r="66" spans="1:29" x14ac:dyDescent="0.25">
      <c r="A66" s="199"/>
      <c r="B66" s="416" t="s">
        <v>72</v>
      </c>
      <c r="C66" s="205" t="s">
        <v>160</v>
      </c>
      <c r="D66" s="200" t="s">
        <v>169</v>
      </c>
      <c r="E66" s="200" t="s">
        <v>167</v>
      </c>
      <c r="F66" s="200" t="s">
        <v>167</v>
      </c>
      <c r="G66" s="200" t="s">
        <v>167</v>
      </c>
      <c r="H66" s="200" t="s">
        <v>169</v>
      </c>
      <c r="I66" s="200" t="s">
        <v>169</v>
      </c>
      <c r="J66" s="200" t="s">
        <v>169</v>
      </c>
      <c r="K66" s="200" t="s">
        <v>169</v>
      </c>
      <c r="L66" s="200" t="s">
        <v>169</v>
      </c>
      <c r="M66" s="200" t="s">
        <v>169</v>
      </c>
      <c r="N66" s="200" t="s">
        <v>169</v>
      </c>
      <c r="O66" s="200" t="s">
        <v>169</v>
      </c>
      <c r="P66" s="200" t="s">
        <v>169</v>
      </c>
      <c r="Q66" s="200" t="s">
        <v>169</v>
      </c>
      <c r="R66" s="200" t="s">
        <v>169</v>
      </c>
      <c r="S66" s="200" t="s">
        <v>169</v>
      </c>
      <c r="T66" s="200" t="s">
        <v>169</v>
      </c>
      <c r="U66" s="200" t="s">
        <v>169</v>
      </c>
      <c r="V66" s="200" t="s">
        <v>169</v>
      </c>
      <c r="W66" s="200" t="s">
        <v>169</v>
      </c>
      <c r="X66" s="200" t="s">
        <v>169</v>
      </c>
      <c r="Y66" s="200" t="s">
        <v>169</v>
      </c>
      <c r="Z66" s="200" t="s">
        <v>169</v>
      </c>
      <c r="AA66" s="146">
        <v>0.95</v>
      </c>
      <c r="AB66" s="146"/>
      <c r="AC66" s="147">
        <v>0.95</v>
      </c>
    </row>
    <row r="67" spans="1:29" x14ac:dyDescent="0.25">
      <c r="A67" s="199">
        <v>4</v>
      </c>
      <c r="B67" s="416"/>
      <c r="C67" s="205" t="s">
        <v>161</v>
      </c>
      <c r="D67" s="200" t="s">
        <v>169</v>
      </c>
      <c r="E67" s="200" t="s">
        <v>167</v>
      </c>
      <c r="F67" s="200" t="s">
        <v>167</v>
      </c>
      <c r="G67" s="200" t="s">
        <v>167</v>
      </c>
      <c r="H67" s="200" t="s">
        <v>169</v>
      </c>
      <c r="I67" s="200" t="s">
        <v>169</v>
      </c>
      <c r="J67" s="200" t="s">
        <v>169</v>
      </c>
      <c r="K67" s="200" t="s">
        <v>169</v>
      </c>
      <c r="L67" s="200" t="s">
        <v>169</v>
      </c>
      <c r="M67" s="200" t="s">
        <v>169</v>
      </c>
      <c r="N67" s="200" t="s">
        <v>169</v>
      </c>
      <c r="O67" s="200" t="s">
        <v>169</v>
      </c>
      <c r="P67" s="200" t="s">
        <v>169</v>
      </c>
      <c r="Q67" s="200" t="s">
        <v>169</v>
      </c>
      <c r="R67" s="200" t="s">
        <v>169</v>
      </c>
      <c r="S67" s="200" t="s">
        <v>169</v>
      </c>
      <c r="T67" s="200" t="s">
        <v>169</v>
      </c>
      <c r="U67" s="200" t="s">
        <v>169</v>
      </c>
      <c r="V67" s="200" t="s">
        <v>169</v>
      </c>
      <c r="W67" s="200" t="s">
        <v>169</v>
      </c>
      <c r="X67" s="200" t="s">
        <v>169</v>
      </c>
      <c r="Y67" s="200" t="s">
        <v>169</v>
      </c>
      <c r="Z67" s="200" t="s">
        <v>169</v>
      </c>
      <c r="AA67" s="146">
        <v>1.77</v>
      </c>
      <c r="AB67" s="146"/>
      <c r="AC67" s="147">
        <v>1.77</v>
      </c>
    </row>
    <row r="68" spans="1:29" x14ac:dyDescent="0.25">
      <c r="A68" s="199"/>
      <c r="B68" s="416"/>
      <c r="C68" s="205" t="s">
        <v>162</v>
      </c>
      <c r="D68" s="200" t="s">
        <v>169</v>
      </c>
      <c r="E68" s="200" t="s">
        <v>167</v>
      </c>
      <c r="F68" s="200" t="s">
        <v>167</v>
      </c>
      <c r="G68" s="200" t="s">
        <v>167</v>
      </c>
      <c r="H68" s="200" t="s">
        <v>169</v>
      </c>
      <c r="I68" s="200" t="s">
        <v>169</v>
      </c>
      <c r="J68" s="200" t="s">
        <v>169</v>
      </c>
      <c r="K68" s="200" t="s">
        <v>169</v>
      </c>
      <c r="L68" s="200" t="s">
        <v>169</v>
      </c>
      <c r="M68" s="200" t="s">
        <v>169</v>
      </c>
      <c r="N68" s="200" t="s">
        <v>169</v>
      </c>
      <c r="O68" s="200" t="s">
        <v>169</v>
      </c>
      <c r="P68" s="200" t="s">
        <v>169</v>
      </c>
      <c r="Q68" s="200" t="s">
        <v>169</v>
      </c>
      <c r="R68" s="200" t="s">
        <v>169</v>
      </c>
      <c r="S68" s="200" t="s">
        <v>169</v>
      </c>
      <c r="T68" s="200" t="s">
        <v>169</v>
      </c>
      <c r="U68" s="200" t="s">
        <v>169</v>
      </c>
      <c r="V68" s="200" t="s">
        <v>169</v>
      </c>
      <c r="W68" s="200" t="s">
        <v>169</v>
      </c>
      <c r="X68" s="200" t="s">
        <v>169</v>
      </c>
      <c r="Y68" s="200" t="s">
        <v>169</v>
      </c>
      <c r="Z68" s="200" t="s">
        <v>169</v>
      </c>
      <c r="AA68" s="146">
        <v>0.72695677669917647</v>
      </c>
      <c r="AB68" s="146"/>
      <c r="AC68" s="147">
        <v>0.22034215484401001</v>
      </c>
    </row>
    <row r="69" spans="1:29" x14ac:dyDescent="0.25">
      <c r="A69" s="199"/>
      <c r="B69" s="416"/>
      <c r="C69" s="166" t="s">
        <v>155</v>
      </c>
      <c r="D69" s="146" t="s">
        <v>169</v>
      </c>
      <c r="E69" s="146" t="s">
        <v>167</v>
      </c>
      <c r="F69" s="146" t="s">
        <v>167</v>
      </c>
      <c r="G69" s="146" t="s">
        <v>167</v>
      </c>
      <c r="H69" s="146" t="s">
        <v>169</v>
      </c>
      <c r="I69" s="146" t="s">
        <v>169</v>
      </c>
      <c r="J69" s="146" t="s">
        <v>169</v>
      </c>
      <c r="K69" s="146" t="s">
        <v>169</v>
      </c>
      <c r="L69" s="146" t="s">
        <v>169</v>
      </c>
      <c r="M69" s="146" t="s">
        <v>169</v>
      </c>
      <c r="N69" s="146" t="s">
        <v>169</v>
      </c>
      <c r="O69" s="146" t="s">
        <v>169</v>
      </c>
      <c r="P69" s="146" t="s">
        <v>169</v>
      </c>
      <c r="Q69" s="146" t="s">
        <v>169</v>
      </c>
      <c r="R69" s="146" t="s">
        <v>169</v>
      </c>
      <c r="S69" s="146" t="s">
        <v>169</v>
      </c>
      <c r="T69" s="146" t="s">
        <v>169</v>
      </c>
      <c r="U69" s="146" t="s">
        <v>169</v>
      </c>
      <c r="V69" s="146" t="s">
        <v>169</v>
      </c>
      <c r="W69" s="146" t="s">
        <v>169</v>
      </c>
      <c r="X69" s="146" t="s">
        <v>169</v>
      </c>
      <c r="Y69" s="146" t="s">
        <v>169</v>
      </c>
      <c r="Z69" s="146" t="s">
        <v>169</v>
      </c>
      <c r="AA69" s="146" t="s">
        <v>347</v>
      </c>
      <c r="AB69" s="146" t="s">
        <v>342</v>
      </c>
      <c r="AC69" s="147" t="s">
        <v>343</v>
      </c>
    </row>
    <row r="70" spans="1:29" x14ac:dyDescent="0.25">
      <c r="A70" s="199"/>
      <c r="B70" s="432" t="s">
        <v>73</v>
      </c>
      <c r="C70" s="206" t="s">
        <v>157</v>
      </c>
      <c r="D70" s="207" t="s">
        <v>169</v>
      </c>
      <c r="E70" s="207" t="s">
        <v>167</v>
      </c>
      <c r="F70" s="207" t="s">
        <v>167</v>
      </c>
      <c r="G70" s="207" t="s">
        <v>167</v>
      </c>
      <c r="H70" s="207" t="s">
        <v>169</v>
      </c>
      <c r="I70" s="207" t="s">
        <v>169</v>
      </c>
      <c r="J70" s="207" t="s">
        <v>169</v>
      </c>
      <c r="K70" s="207" t="s">
        <v>169</v>
      </c>
      <c r="L70" s="207" t="s">
        <v>169</v>
      </c>
      <c r="M70" s="207" t="s">
        <v>169</v>
      </c>
      <c r="N70" s="207" t="s">
        <v>169</v>
      </c>
      <c r="O70" s="207" t="s">
        <v>169</v>
      </c>
      <c r="P70" s="207" t="s">
        <v>169</v>
      </c>
      <c r="Q70" s="207" t="s">
        <v>169</v>
      </c>
      <c r="R70" s="207" t="s">
        <v>169</v>
      </c>
      <c r="S70" s="207" t="s">
        <v>169</v>
      </c>
      <c r="T70" s="207" t="s">
        <v>169</v>
      </c>
      <c r="U70" s="207" t="s">
        <v>169</v>
      </c>
      <c r="V70" s="207" t="s">
        <v>169</v>
      </c>
      <c r="W70" s="207" t="s">
        <v>169</v>
      </c>
      <c r="X70" s="207" t="s">
        <v>169</v>
      </c>
      <c r="Y70" s="207" t="s">
        <v>169</v>
      </c>
      <c r="Z70" s="207" t="s">
        <v>169</v>
      </c>
      <c r="AA70" s="146">
        <v>0.85</v>
      </c>
      <c r="AB70" s="146"/>
      <c r="AC70" s="147">
        <v>0.85</v>
      </c>
    </row>
    <row r="71" spans="1:29" x14ac:dyDescent="0.25">
      <c r="A71" s="199"/>
      <c r="B71" s="433"/>
      <c r="C71" s="206" t="s">
        <v>158</v>
      </c>
      <c r="D71" s="207" t="s">
        <v>169</v>
      </c>
      <c r="E71" s="207" t="s">
        <v>167</v>
      </c>
      <c r="F71" s="207" t="s">
        <v>167</v>
      </c>
      <c r="G71" s="207" t="s">
        <v>167</v>
      </c>
      <c r="H71" s="207" t="s">
        <v>169</v>
      </c>
      <c r="I71" s="207" t="s">
        <v>169</v>
      </c>
      <c r="J71" s="207" t="s">
        <v>169</v>
      </c>
      <c r="K71" s="207" t="s">
        <v>169</v>
      </c>
      <c r="L71" s="207" t="s">
        <v>169</v>
      </c>
      <c r="M71" s="207" t="s">
        <v>169</v>
      </c>
      <c r="N71" s="207" t="s">
        <v>169</v>
      </c>
      <c r="O71" s="207" t="s">
        <v>169</v>
      </c>
      <c r="P71" s="207" t="s">
        <v>169</v>
      </c>
      <c r="Q71" s="207" t="s">
        <v>169</v>
      </c>
      <c r="R71" s="207" t="s">
        <v>169</v>
      </c>
      <c r="S71" s="207" t="s">
        <v>169</v>
      </c>
      <c r="T71" s="207" t="s">
        <v>169</v>
      </c>
      <c r="U71" s="207" t="s">
        <v>169</v>
      </c>
      <c r="V71" s="207" t="s">
        <v>169</v>
      </c>
      <c r="W71" s="207" t="s">
        <v>169</v>
      </c>
      <c r="X71" s="207" t="s">
        <v>169</v>
      </c>
      <c r="Y71" s="207" t="s">
        <v>169</v>
      </c>
      <c r="Z71" s="207" t="s">
        <v>169</v>
      </c>
      <c r="AA71" s="146">
        <v>1.08</v>
      </c>
      <c r="AB71" s="146"/>
      <c r="AC71" s="147">
        <v>1.08</v>
      </c>
    </row>
    <row r="72" spans="1:29" x14ac:dyDescent="0.25">
      <c r="A72" s="199"/>
      <c r="B72" s="433"/>
      <c r="C72" s="206" t="s">
        <v>159</v>
      </c>
      <c r="D72" s="207" t="s">
        <v>169</v>
      </c>
      <c r="E72" s="207" t="s">
        <v>167</v>
      </c>
      <c r="F72" s="207" t="s">
        <v>167</v>
      </c>
      <c r="G72" s="207" t="s">
        <v>167</v>
      </c>
      <c r="H72" s="207" t="s">
        <v>169</v>
      </c>
      <c r="I72" s="207" t="s">
        <v>169</v>
      </c>
      <c r="J72" s="207" t="s">
        <v>169</v>
      </c>
      <c r="K72" s="207" t="s">
        <v>169</v>
      </c>
      <c r="L72" s="207" t="s">
        <v>169</v>
      </c>
      <c r="M72" s="207" t="s">
        <v>169</v>
      </c>
      <c r="N72" s="207" t="s">
        <v>169</v>
      </c>
      <c r="O72" s="207" t="s">
        <v>169</v>
      </c>
      <c r="P72" s="207" t="s">
        <v>169</v>
      </c>
      <c r="Q72" s="207" t="s">
        <v>169</v>
      </c>
      <c r="R72" s="207" t="s">
        <v>169</v>
      </c>
      <c r="S72" s="207" t="s">
        <v>169</v>
      </c>
      <c r="T72" s="207" t="s">
        <v>169</v>
      </c>
      <c r="U72" s="207" t="s">
        <v>169</v>
      </c>
      <c r="V72" s="207" t="s">
        <v>169</v>
      </c>
      <c r="W72" s="207" t="s">
        <v>169</v>
      </c>
      <c r="X72" s="207" t="s">
        <v>169</v>
      </c>
      <c r="Y72" s="207" t="s">
        <v>169</v>
      </c>
      <c r="Z72" s="207" t="s">
        <v>169</v>
      </c>
      <c r="AA72" s="146">
        <v>0.44356684679949748</v>
      </c>
      <c r="AB72" s="146"/>
      <c r="AC72" s="147">
        <v>0.13444606058278577</v>
      </c>
    </row>
    <row r="73" spans="1:29" ht="15.75" thickBot="1" x14ac:dyDescent="0.3">
      <c r="A73" s="208"/>
      <c r="B73" s="434"/>
      <c r="C73" s="124" t="s">
        <v>156</v>
      </c>
      <c r="D73" s="160" t="s">
        <v>169</v>
      </c>
      <c r="E73" s="160" t="s">
        <v>167</v>
      </c>
      <c r="F73" s="160" t="s">
        <v>167</v>
      </c>
      <c r="G73" s="160" t="s">
        <v>167</v>
      </c>
      <c r="H73" s="160" t="s">
        <v>169</v>
      </c>
      <c r="I73" s="160" t="s">
        <v>169</v>
      </c>
      <c r="J73" s="160" t="s">
        <v>169</v>
      </c>
      <c r="K73" s="160" t="s">
        <v>169</v>
      </c>
      <c r="L73" s="160" t="s">
        <v>169</v>
      </c>
      <c r="M73" s="160" t="s">
        <v>169</v>
      </c>
      <c r="N73" s="160" t="s">
        <v>169</v>
      </c>
      <c r="O73" s="160" t="s">
        <v>169</v>
      </c>
      <c r="P73" s="160" t="s">
        <v>169</v>
      </c>
      <c r="Q73" s="160" t="s">
        <v>169</v>
      </c>
      <c r="R73" s="160" t="s">
        <v>169</v>
      </c>
      <c r="S73" s="160" t="s">
        <v>169</v>
      </c>
      <c r="T73" s="160" t="s">
        <v>169</v>
      </c>
      <c r="U73" s="160" t="s">
        <v>169</v>
      </c>
      <c r="V73" s="160" t="s">
        <v>169</v>
      </c>
      <c r="W73" s="160" t="s">
        <v>169</v>
      </c>
      <c r="X73" s="160" t="s">
        <v>169</v>
      </c>
      <c r="Y73" s="160" t="s">
        <v>169</v>
      </c>
      <c r="Z73" s="160" t="s">
        <v>169</v>
      </c>
      <c r="AA73" s="160" t="s">
        <v>348</v>
      </c>
      <c r="AB73" s="160" t="s">
        <v>344</v>
      </c>
      <c r="AC73" s="209" t="s">
        <v>345</v>
      </c>
    </row>
    <row r="74" spans="1:29" x14ac:dyDescent="0.25">
      <c r="A74" s="196"/>
      <c r="B74" s="435" t="s">
        <v>30</v>
      </c>
      <c r="C74" s="197" t="s">
        <v>24</v>
      </c>
      <c r="D74" s="198">
        <v>18</v>
      </c>
      <c r="E74" s="198">
        <v>18</v>
      </c>
      <c r="F74" s="198">
        <v>18</v>
      </c>
      <c r="G74" s="198">
        <v>18</v>
      </c>
      <c r="H74" s="198">
        <v>18</v>
      </c>
      <c r="I74" s="198">
        <v>18</v>
      </c>
      <c r="J74" s="198">
        <v>18</v>
      </c>
      <c r="K74" s="198">
        <v>18</v>
      </c>
      <c r="L74" s="198">
        <v>0</v>
      </c>
      <c r="M74" s="198">
        <v>0</v>
      </c>
      <c r="N74" s="198">
        <v>0</v>
      </c>
      <c r="O74" s="198">
        <v>0</v>
      </c>
      <c r="P74" s="198">
        <v>0</v>
      </c>
      <c r="Q74" s="198">
        <v>0</v>
      </c>
      <c r="R74" s="198">
        <v>18</v>
      </c>
      <c r="S74" s="198">
        <v>18</v>
      </c>
      <c r="T74" s="198">
        <v>18</v>
      </c>
      <c r="U74" s="198">
        <v>0</v>
      </c>
      <c r="V74" s="198">
        <v>0</v>
      </c>
      <c r="W74" s="198">
        <v>3</v>
      </c>
      <c r="X74" s="198">
        <v>3</v>
      </c>
      <c r="Y74" s="198">
        <v>3</v>
      </c>
      <c r="Z74" s="198">
        <v>18</v>
      </c>
      <c r="AA74" s="198">
        <v>54</v>
      </c>
      <c r="AB74" s="198">
        <v>54</v>
      </c>
      <c r="AC74" s="112">
        <v>54</v>
      </c>
    </row>
    <row r="75" spans="1:29" x14ac:dyDescent="0.25">
      <c r="A75" s="199"/>
      <c r="B75" s="416"/>
      <c r="C75" s="98" t="s">
        <v>40</v>
      </c>
      <c r="D75" s="200">
        <v>1.8306397324611303</v>
      </c>
      <c r="E75" s="200">
        <v>3.1362783406555905E-2</v>
      </c>
      <c r="F75" s="200">
        <v>4.9743032487432379E-2</v>
      </c>
      <c r="G75" s="200">
        <v>2.9604197282345396E-2</v>
      </c>
      <c r="H75" s="200">
        <v>1.4741786236339074E-3</v>
      </c>
      <c r="I75" s="200">
        <v>1.9035570418993777</v>
      </c>
      <c r="J75" s="200">
        <v>5.3320617356648413E-2</v>
      </c>
      <c r="K75" s="200">
        <v>0.74042912835574359</v>
      </c>
      <c r="L75" s="200" t="s">
        <v>167</v>
      </c>
      <c r="M75" s="200" t="s">
        <v>167</v>
      </c>
      <c r="N75" s="200" t="s">
        <v>167</v>
      </c>
      <c r="O75" s="200" t="s">
        <v>167</v>
      </c>
      <c r="P75" s="200" t="s">
        <v>167</v>
      </c>
      <c r="Q75" s="200" t="s">
        <v>167</v>
      </c>
      <c r="R75" s="200" t="s">
        <v>167</v>
      </c>
      <c r="S75" s="200">
        <v>9.8491896086791044</v>
      </c>
      <c r="T75" s="200">
        <v>4.3776019340285446</v>
      </c>
      <c r="U75" s="200" t="s">
        <v>167</v>
      </c>
      <c r="V75" s="200" t="s">
        <v>167</v>
      </c>
      <c r="W75" s="200">
        <v>6.5064070986477094E-3</v>
      </c>
      <c r="X75" s="200">
        <v>2E-3</v>
      </c>
      <c r="Y75" s="200">
        <v>1.6254849532780491</v>
      </c>
      <c r="Z75" s="200">
        <v>6.5512060457288905</v>
      </c>
      <c r="AA75" s="146">
        <v>2.369695500215967E-2</v>
      </c>
      <c r="AB75" s="146"/>
      <c r="AC75" s="147">
        <v>1.0969558622202565E-2</v>
      </c>
    </row>
    <row r="76" spans="1:29" x14ac:dyDescent="0.25">
      <c r="A76" s="199"/>
      <c r="B76" s="416"/>
      <c r="C76" s="98" t="s">
        <v>25</v>
      </c>
      <c r="D76" s="200">
        <v>8.6668898433193961E-2</v>
      </c>
      <c r="E76" s="200">
        <v>1.6227258654114986E-2</v>
      </c>
      <c r="F76" s="200">
        <v>3.115972106399105E-2</v>
      </c>
      <c r="G76" s="200">
        <v>2.96618731467975E-2</v>
      </c>
      <c r="H76" s="200">
        <v>5.5356660530740242E-4</v>
      </c>
      <c r="I76" s="200">
        <v>4.750974314224736E-2</v>
      </c>
      <c r="J76" s="200">
        <v>7.9602812674767473E-2</v>
      </c>
      <c r="K76" s="200">
        <v>8.8216337770739908E-3</v>
      </c>
      <c r="L76" s="200" t="s">
        <v>167</v>
      </c>
      <c r="M76" s="200" t="s">
        <v>167</v>
      </c>
      <c r="N76" s="200" t="s">
        <v>167</v>
      </c>
      <c r="O76" s="200" t="s">
        <v>167</v>
      </c>
      <c r="P76" s="200" t="s">
        <v>167</v>
      </c>
      <c r="Q76" s="200" t="s">
        <v>167</v>
      </c>
      <c r="R76" s="200" t="s">
        <v>167</v>
      </c>
      <c r="S76" s="200">
        <v>0.13349805192486738</v>
      </c>
      <c r="T76" s="200">
        <v>0.36820950846969064</v>
      </c>
      <c r="U76" s="200" t="s">
        <v>167</v>
      </c>
      <c r="V76" s="200" t="s">
        <v>167</v>
      </c>
      <c r="W76" s="200">
        <v>6.4847911282203088E-2</v>
      </c>
      <c r="X76" s="200">
        <v>6.8965517241379323E-2</v>
      </c>
      <c r="Y76" s="200">
        <v>4.7752669530980001E-2</v>
      </c>
      <c r="Z76" s="200">
        <v>0.37916948174636661</v>
      </c>
      <c r="AA76" s="146">
        <v>0.79777778685575318</v>
      </c>
      <c r="AB76" s="146"/>
      <c r="AC76" s="147">
        <v>1.8943879420478371E-2</v>
      </c>
    </row>
    <row r="77" spans="1:29" x14ac:dyDescent="0.25">
      <c r="A77" s="199"/>
      <c r="B77" s="416"/>
      <c r="C77" s="201" t="s">
        <v>55</v>
      </c>
      <c r="D77" s="202">
        <v>0.15</v>
      </c>
      <c r="E77" s="202">
        <v>0.05</v>
      </c>
      <c r="F77" s="202">
        <v>0.05</v>
      </c>
      <c r="G77" s="202">
        <v>0.05</v>
      </c>
      <c r="H77" s="202" t="s">
        <v>167</v>
      </c>
      <c r="I77" s="202" t="s">
        <v>167</v>
      </c>
      <c r="J77" s="202" t="s">
        <v>167</v>
      </c>
      <c r="K77" s="202" t="s">
        <v>167</v>
      </c>
      <c r="L77" s="202">
        <v>0.3</v>
      </c>
      <c r="M77" s="202">
        <v>0.3</v>
      </c>
      <c r="N77" s="202">
        <v>0.3</v>
      </c>
      <c r="O77" s="202" t="s">
        <v>167</v>
      </c>
      <c r="P77" s="202" t="s">
        <v>167</v>
      </c>
      <c r="Q77" s="202" t="s">
        <v>167</v>
      </c>
      <c r="R77" s="202" t="s">
        <v>167</v>
      </c>
      <c r="S77" s="202" t="s">
        <v>167</v>
      </c>
      <c r="T77" s="202" t="s">
        <v>167</v>
      </c>
      <c r="U77" s="202" t="s">
        <v>167</v>
      </c>
      <c r="V77" s="202">
        <v>0.4</v>
      </c>
      <c r="W77" s="202" t="s">
        <v>167</v>
      </c>
      <c r="X77" s="202" t="s">
        <v>167</v>
      </c>
      <c r="Y77" s="202">
        <v>0.3</v>
      </c>
      <c r="Z77" s="202" t="s">
        <v>167</v>
      </c>
      <c r="AA77" s="203">
        <v>0.3</v>
      </c>
      <c r="AB77" s="203">
        <v>0.3</v>
      </c>
      <c r="AC77" s="204">
        <v>0.3</v>
      </c>
    </row>
    <row r="78" spans="1:29" x14ac:dyDescent="0.25">
      <c r="A78" s="199"/>
      <c r="B78" s="416"/>
      <c r="C78" s="205" t="s">
        <v>164</v>
      </c>
      <c r="D78" s="200" t="s">
        <v>166</v>
      </c>
      <c r="E78" s="200" t="s">
        <v>166</v>
      </c>
      <c r="F78" s="200" t="s">
        <v>166</v>
      </c>
      <c r="G78" s="200" t="s">
        <v>166</v>
      </c>
      <c r="H78" s="200" t="s">
        <v>169</v>
      </c>
      <c r="I78" s="200" t="s">
        <v>169</v>
      </c>
      <c r="J78" s="200" t="s">
        <v>169</v>
      </c>
      <c r="K78" s="200" t="s">
        <v>169</v>
      </c>
      <c r="L78" s="200" t="s">
        <v>169</v>
      </c>
      <c r="M78" s="200" t="s">
        <v>169</v>
      </c>
      <c r="N78" s="200" t="s">
        <v>169</v>
      </c>
      <c r="O78" s="200" t="s">
        <v>169</v>
      </c>
      <c r="P78" s="200" t="s">
        <v>169</v>
      </c>
      <c r="Q78" s="200" t="s">
        <v>169</v>
      </c>
      <c r="R78" s="200" t="s">
        <v>169</v>
      </c>
      <c r="S78" s="200" t="s">
        <v>169</v>
      </c>
      <c r="T78" s="200" t="s">
        <v>169</v>
      </c>
      <c r="U78" s="200" t="s">
        <v>169</v>
      </c>
      <c r="V78" s="200" t="s">
        <v>169</v>
      </c>
      <c r="W78" s="200" t="s">
        <v>169</v>
      </c>
      <c r="X78" s="200" t="s">
        <v>169</v>
      </c>
      <c r="Y78" s="200" t="s">
        <v>166</v>
      </c>
      <c r="Z78" s="200" t="s">
        <v>169</v>
      </c>
      <c r="AA78" s="146" t="s">
        <v>319</v>
      </c>
      <c r="AB78" s="146" t="s">
        <v>169</v>
      </c>
      <c r="AC78" s="147" t="s">
        <v>166</v>
      </c>
    </row>
    <row r="79" spans="1:29" x14ac:dyDescent="0.25">
      <c r="A79" s="199"/>
      <c r="B79" s="148" t="s">
        <v>31</v>
      </c>
      <c r="C79" s="205" t="s">
        <v>163</v>
      </c>
      <c r="D79" s="200">
        <v>21.122222222222224</v>
      </c>
      <c r="E79" s="200">
        <v>1.9327222222222222</v>
      </c>
      <c r="F79" s="200">
        <v>1.5963888888888889</v>
      </c>
      <c r="G79" s="200">
        <v>0.99805555555555558</v>
      </c>
      <c r="H79" s="200">
        <v>2.6630555555555553</v>
      </c>
      <c r="I79" s="200">
        <v>40.06666666666667</v>
      </c>
      <c r="J79" s="200">
        <v>0.66983333333333339</v>
      </c>
      <c r="K79" s="200">
        <v>83.933333333333323</v>
      </c>
      <c r="L79" s="200" t="s">
        <v>167</v>
      </c>
      <c r="M79" s="200" t="s">
        <v>167</v>
      </c>
      <c r="N79" s="200" t="s">
        <v>167</v>
      </c>
      <c r="O79" s="200" t="s">
        <v>167</v>
      </c>
      <c r="P79" s="200" t="s">
        <v>167</v>
      </c>
      <c r="Q79" s="200" t="s">
        <v>167</v>
      </c>
      <c r="R79" s="200">
        <v>100</v>
      </c>
      <c r="S79" s="200">
        <v>73.777777777777771</v>
      </c>
      <c r="T79" s="200">
        <v>11.888888888888889</v>
      </c>
      <c r="U79" s="200" t="s">
        <v>167</v>
      </c>
      <c r="V79" s="200" t="s">
        <v>167</v>
      </c>
      <c r="W79" s="200">
        <v>0.10033333333333333</v>
      </c>
      <c r="X79" s="200">
        <v>2.8999999999999998E-2</v>
      </c>
      <c r="Y79" s="200">
        <v>34.039666666666669</v>
      </c>
      <c r="Z79" s="200">
        <v>17.277777777777779</v>
      </c>
      <c r="AA79" s="146">
        <v>2.9703703703703566E-2</v>
      </c>
      <c r="AB79" s="146" t="s">
        <v>330</v>
      </c>
      <c r="AC79" s="147">
        <v>0.57905555555555588</v>
      </c>
    </row>
    <row r="80" spans="1:29" x14ac:dyDescent="0.25">
      <c r="A80" s="199"/>
      <c r="B80" s="416" t="s">
        <v>72</v>
      </c>
      <c r="C80" s="205" t="s">
        <v>160</v>
      </c>
      <c r="D80" s="200" t="s">
        <v>169</v>
      </c>
      <c r="E80" s="200">
        <v>0.95</v>
      </c>
      <c r="F80" s="200">
        <v>0.95</v>
      </c>
      <c r="G80" s="200">
        <v>0.95</v>
      </c>
      <c r="H80" s="200" t="s">
        <v>169</v>
      </c>
      <c r="I80" s="200" t="s">
        <v>169</v>
      </c>
      <c r="J80" s="200" t="s">
        <v>169</v>
      </c>
      <c r="K80" s="200" t="s">
        <v>169</v>
      </c>
      <c r="L80" s="200" t="s">
        <v>169</v>
      </c>
      <c r="M80" s="200" t="s">
        <v>169</v>
      </c>
      <c r="N80" s="200" t="s">
        <v>169</v>
      </c>
      <c r="O80" s="200" t="s">
        <v>169</v>
      </c>
      <c r="P80" s="200" t="s">
        <v>169</v>
      </c>
      <c r="Q80" s="200" t="s">
        <v>169</v>
      </c>
      <c r="R80" s="200" t="s">
        <v>169</v>
      </c>
      <c r="S80" s="200" t="s">
        <v>169</v>
      </c>
      <c r="T80" s="200" t="s">
        <v>169</v>
      </c>
      <c r="U80" s="200" t="s">
        <v>169</v>
      </c>
      <c r="V80" s="200" t="s">
        <v>169</v>
      </c>
      <c r="W80" s="200" t="s">
        <v>169</v>
      </c>
      <c r="X80" s="200" t="s">
        <v>169</v>
      </c>
      <c r="Y80" s="200" t="s">
        <v>169</v>
      </c>
      <c r="Z80" s="200" t="s">
        <v>169</v>
      </c>
      <c r="AA80" s="146">
        <v>0.95</v>
      </c>
      <c r="AB80" s="146"/>
      <c r="AC80" s="147">
        <v>0.95</v>
      </c>
    </row>
    <row r="81" spans="1:29" x14ac:dyDescent="0.25">
      <c r="A81" s="199" t="s">
        <v>143</v>
      </c>
      <c r="B81" s="416"/>
      <c r="C81" s="205" t="s">
        <v>161</v>
      </c>
      <c r="D81" s="200" t="s">
        <v>169</v>
      </c>
      <c r="E81" s="200">
        <v>1.74</v>
      </c>
      <c r="F81" s="200">
        <v>1.74</v>
      </c>
      <c r="G81" s="200">
        <v>1.74</v>
      </c>
      <c r="H81" s="200" t="s">
        <v>169</v>
      </c>
      <c r="I81" s="200" t="s">
        <v>169</v>
      </c>
      <c r="J81" s="200" t="s">
        <v>169</v>
      </c>
      <c r="K81" s="200" t="s">
        <v>169</v>
      </c>
      <c r="L81" s="200" t="s">
        <v>169</v>
      </c>
      <c r="M81" s="200" t="s">
        <v>169</v>
      </c>
      <c r="N81" s="200" t="s">
        <v>169</v>
      </c>
      <c r="O81" s="200" t="s">
        <v>169</v>
      </c>
      <c r="P81" s="200" t="s">
        <v>169</v>
      </c>
      <c r="Q81" s="200" t="s">
        <v>169</v>
      </c>
      <c r="R81" s="200" t="s">
        <v>169</v>
      </c>
      <c r="S81" s="200" t="s">
        <v>169</v>
      </c>
      <c r="T81" s="200" t="s">
        <v>169</v>
      </c>
      <c r="U81" s="200" t="s">
        <v>169</v>
      </c>
      <c r="V81" s="200" t="s">
        <v>169</v>
      </c>
      <c r="W81" s="200" t="s">
        <v>169</v>
      </c>
      <c r="X81" s="200" t="s">
        <v>169</v>
      </c>
      <c r="Y81" s="200" t="s">
        <v>169</v>
      </c>
      <c r="Z81" s="200" t="s">
        <v>169</v>
      </c>
      <c r="AA81" s="146">
        <v>1.68</v>
      </c>
      <c r="AB81" s="146"/>
      <c r="AC81" s="147">
        <v>1.68</v>
      </c>
    </row>
    <row r="82" spans="1:29" x14ac:dyDescent="0.25">
      <c r="A82" s="199"/>
      <c r="B82" s="416"/>
      <c r="C82" s="205" t="s">
        <v>162</v>
      </c>
      <c r="D82" s="200" t="s">
        <v>169</v>
      </c>
      <c r="E82" s="200">
        <v>6.6551546879478219E-3</v>
      </c>
      <c r="F82" s="200">
        <v>1.2779285037253039E-2</v>
      </c>
      <c r="G82" s="200">
        <v>1.2164984753981489E-2</v>
      </c>
      <c r="H82" s="200" t="s">
        <v>169</v>
      </c>
      <c r="I82" s="200" t="s">
        <v>169</v>
      </c>
      <c r="J82" s="200" t="s">
        <v>169</v>
      </c>
      <c r="K82" s="200" t="s">
        <v>169</v>
      </c>
      <c r="L82" s="200" t="s">
        <v>169</v>
      </c>
      <c r="M82" s="200" t="s">
        <v>169</v>
      </c>
      <c r="N82" s="200" t="s">
        <v>169</v>
      </c>
      <c r="O82" s="200" t="s">
        <v>169</v>
      </c>
      <c r="P82" s="200" t="s">
        <v>169</v>
      </c>
      <c r="Q82" s="200" t="s">
        <v>169</v>
      </c>
      <c r="R82" s="200" t="s">
        <v>169</v>
      </c>
      <c r="S82" s="200" t="s">
        <v>169</v>
      </c>
      <c r="T82" s="200" t="s">
        <v>169</v>
      </c>
      <c r="U82" s="200" t="s">
        <v>169</v>
      </c>
      <c r="V82" s="200" t="s">
        <v>169</v>
      </c>
      <c r="W82" s="200" t="s">
        <v>169</v>
      </c>
      <c r="X82" s="200" t="s">
        <v>169</v>
      </c>
      <c r="Y82" s="200" t="s">
        <v>169</v>
      </c>
      <c r="Z82" s="200" t="s">
        <v>169</v>
      </c>
      <c r="AA82" s="146">
        <v>1.3402666819176652</v>
      </c>
      <c r="AB82" s="146"/>
      <c r="AC82" s="147">
        <v>3.1825717426403666E-2</v>
      </c>
    </row>
    <row r="83" spans="1:29" x14ac:dyDescent="0.25">
      <c r="A83" s="199"/>
      <c r="B83" s="416"/>
      <c r="C83" s="166" t="s">
        <v>155</v>
      </c>
      <c r="D83" s="146" t="s">
        <v>169</v>
      </c>
      <c r="E83" s="146" t="s">
        <v>285</v>
      </c>
      <c r="F83" s="146" t="s">
        <v>287</v>
      </c>
      <c r="G83" s="146" t="s">
        <v>289</v>
      </c>
      <c r="H83" s="146" t="s">
        <v>169</v>
      </c>
      <c r="I83" s="146" t="s">
        <v>169</v>
      </c>
      <c r="J83" s="146" t="s">
        <v>169</v>
      </c>
      <c r="K83" s="146" t="s">
        <v>169</v>
      </c>
      <c r="L83" s="146" t="s">
        <v>169</v>
      </c>
      <c r="M83" s="146" t="s">
        <v>169</v>
      </c>
      <c r="N83" s="146" t="s">
        <v>169</v>
      </c>
      <c r="O83" s="146" t="s">
        <v>169</v>
      </c>
      <c r="P83" s="146" t="s">
        <v>169</v>
      </c>
      <c r="Q83" s="146" t="s">
        <v>169</v>
      </c>
      <c r="R83" s="146" t="s">
        <v>169</v>
      </c>
      <c r="S83" s="146" t="s">
        <v>169</v>
      </c>
      <c r="T83" s="146" t="s">
        <v>169</v>
      </c>
      <c r="U83" s="146" t="s">
        <v>169</v>
      </c>
      <c r="V83" s="146" t="s">
        <v>169</v>
      </c>
      <c r="W83" s="146" t="s">
        <v>169</v>
      </c>
      <c r="X83" s="146" t="s">
        <v>169</v>
      </c>
      <c r="Y83" s="146" t="s">
        <v>169</v>
      </c>
      <c r="Z83" s="146" t="s">
        <v>169</v>
      </c>
      <c r="AA83" s="146" t="s">
        <v>355</v>
      </c>
      <c r="AB83" s="146" t="s">
        <v>331</v>
      </c>
      <c r="AC83" s="147" t="s">
        <v>332</v>
      </c>
    </row>
    <row r="84" spans="1:29" x14ac:dyDescent="0.25">
      <c r="A84" s="199"/>
      <c r="B84" s="432" t="s">
        <v>73</v>
      </c>
      <c r="C84" s="206" t="s">
        <v>157</v>
      </c>
      <c r="D84" s="207" t="s">
        <v>169</v>
      </c>
      <c r="E84" s="207">
        <v>0.85</v>
      </c>
      <c r="F84" s="207">
        <v>0.85</v>
      </c>
      <c r="G84" s="207">
        <v>0.85</v>
      </c>
      <c r="H84" s="207" t="s">
        <v>169</v>
      </c>
      <c r="I84" s="207" t="s">
        <v>169</v>
      </c>
      <c r="J84" s="207" t="s">
        <v>169</v>
      </c>
      <c r="K84" s="207" t="s">
        <v>169</v>
      </c>
      <c r="L84" s="207" t="s">
        <v>169</v>
      </c>
      <c r="M84" s="207" t="s">
        <v>169</v>
      </c>
      <c r="N84" s="207" t="s">
        <v>169</v>
      </c>
      <c r="O84" s="207" t="s">
        <v>169</v>
      </c>
      <c r="P84" s="207" t="s">
        <v>169</v>
      </c>
      <c r="Q84" s="207" t="s">
        <v>169</v>
      </c>
      <c r="R84" s="207" t="s">
        <v>169</v>
      </c>
      <c r="S84" s="207" t="s">
        <v>169</v>
      </c>
      <c r="T84" s="207" t="s">
        <v>169</v>
      </c>
      <c r="U84" s="207" t="s">
        <v>169</v>
      </c>
      <c r="V84" s="207" t="s">
        <v>169</v>
      </c>
      <c r="W84" s="207" t="s">
        <v>169</v>
      </c>
      <c r="X84" s="207" t="s">
        <v>169</v>
      </c>
      <c r="Y84" s="207" t="s">
        <v>169</v>
      </c>
      <c r="Z84" s="207" t="s">
        <v>169</v>
      </c>
      <c r="AA84" s="146">
        <v>0.85</v>
      </c>
      <c r="AB84" s="146"/>
      <c r="AC84" s="147">
        <v>0.85</v>
      </c>
    </row>
    <row r="85" spans="1:29" x14ac:dyDescent="0.25">
      <c r="A85" s="199"/>
      <c r="B85" s="433"/>
      <c r="C85" s="206" t="s">
        <v>158</v>
      </c>
      <c r="D85" s="207" t="s">
        <v>169</v>
      </c>
      <c r="E85" s="207">
        <v>1.07</v>
      </c>
      <c r="F85" s="207">
        <v>1.07</v>
      </c>
      <c r="G85" s="207">
        <v>1.07</v>
      </c>
      <c r="H85" s="207" t="s">
        <v>169</v>
      </c>
      <c r="I85" s="207" t="s">
        <v>169</v>
      </c>
      <c r="J85" s="207" t="s">
        <v>169</v>
      </c>
      <c r="K85" s="207" t="s">
        <v>169</v>
      </c>
      <c r="L85" s="207" t="s">
        <v>169</v>
      </c>
      <c r="M85" s="207" t="s">
        <v>169</v>
      </c>
      <c r="N85" s="207" t="s">
        <v>169</v>
      </c>
      <c r="O85" s="207" t="s">
        <v>169</v>
      </c>
      <c r="P85" s="207" t="s">
        <v>169</v>
      </c>
      <c r="Q85" s="207" t="s">
        <v>169</v>
      </c>
      <c r="R85" s="207" t="s">
        <v>169</v>
      </c>
      <c r="S85" s="207" t="s">
        <v>169</v>
      </c>
      <c r="T85" s="207" t="s">
        <v>169</v>
      </c>
      <c r="U85" s="207" t="s">
        <v>169</v>
      </c>
      <c r="V85" s="207" t="s">
        <v>169</v>
      </c>
      <c r="W85" s="207" t="s">
        <v>169</v>
      </c>
      <c r="X85" s="207" t="s">
        <v>169</v>
      </c>
      <c r="Y85" s="207" t="s">
        <v>169</v>
      </c>
      <c r="Z85" s="207" t="s">
        <v>169</v>
      </c>
      <c r="AA85" s="146">
        <v>1.05</v>
      </c>
      <c r="AB85" s="146"/>
      <c r="AC85" s="147">
        <v>1.05</v>
      </c>
    </row>
    <row r="86" spans="1:29" x14ac:dyDescent="0.25">
      <c r="A86" s="199"/>
      <c r="B86" s="433"/>
      <c r="C86" s="206" t="s">
        <v>159</v>
      </c>
      <c r="D86" s="207" t="s">
        <v>169</v>
      </c>
      <c r="E86" s="207">
        <v>4.0925376529334307E-3</v>
      </c>
      <c r="F86" s="207">
        <v>7.8585258562418117E-3</v>
      </c>
      <c r="G86" s="207">
        <v>7.4807664866437902E-3</v>
      </c>
      <c r="H86" s="207" t="s">
        <v>169</v>
      </c>
      <c r="I86" s="207" t="s">
        <v>169</v>
      </c>
      <c r="J86" s="207" t="s">
        <v>169</v>
      </c>
      <c r="K86" s="207" t="s">
        <v>169</v>
      </c>
      <c r="L86" s="207" t="s">
        <v>169</v>
      </c>
      <c r="M86" s="207" t="s">
        <v>169</v>
      </c>
      <c r="N86" s="207" t="s">
        <v>169</v>
      </c>
      <c r="O86" s="207" t="s">
        <v>169</v>
      </c>
      <c r="P86" s="207" t="s">
        <v>169</v>
      </c>
      <c r="Q86" s="207" t="s">
        <v>169</v>
      </c>
      <c r="R86" s="207" t="s">
        <v>169</v>
      </c>
      <c r="S86" s="207" t="s">
        <v>169</v>
      </c>
      <c r="T86" s="207" t="s">
        <v>169</v>
      </c>
      <c r="U86" s="207" t="s">
        <v>169</v>
      </c>
      <c r="V86" s="207" t="s">
        <v>169</v>
      </c>
      <c r="W86" s="207" t="s">
        <v>169</v>
      </c>
      <c r="X86" s="207" t="s">
        <v>169</v>
      </c>
      <c r="Y86" s="207" t="s">
        <v>169</v>
      </c>
      <c r="Z86" s="207" t="s">
        <v>169</v>
      </c>
      <c r="AA86" s="146">
        <v>0.83766667619854085</v>
      </c>
      <c r="AB86" s="146"/>
      <c r="AC86" s="147">
        <v>1.9891073391502291E-2</v>
      </c>
    </row>
    <row r="87" spans="1:29" ht="15.75" thickBot="1" x14ac:dyDescent="0.3">
      <c r="A87" s="208"/>
      <c r="B87" s="434"/>
      <c r="C87" s="124" t="s">
        <v>156</v>
      </c>
      <c r="D87" s="160" t="s">
        <v>169</v>
      </c>
      <c r="E87" s="160" t="s">
        <v>286</v>
      </c>
      <c r="F87" s="160" t="s">
        <v>288</v>
      </c>
      <c r="G87" s="160" t="s">
        <v>290</v>
      </c>
      <c r="H87" s="160" t="s">
        <v>169</v>
      </c>
      <c r="I87" s="160" t="s">
        <v>169</v>
      </c>
      <c r="J87" s="160" t="s">
        <v>169</v>
      </c>
      <c r="K87" s="160" t="s">
        <v>169</v>
      </c>
      <c r="L87" s="160" t="s">
        <v>169</v>
      </c>
      <c r="M87" s="160" t="s">
        <v>169</v>
      </c>
      <c r="N87" s="160" t="s">
        <v>169</v>
      </c>
      <c r="O87" s="160" t="s">
        <v>169</v>
      </c>
      <c r="P87" s="160" t="s">
        <v>169</v>
      </c>
      <c r="Q87" s="160" t="s">
        <v>169</v>
      </c>
      <c r="R87" s="160" t="s">
        <v>169</v>
      </c>
      <c r="S87" s="160" t="s">
        <v>169</v>
      </c>
      <c r="T87" s="160" t="s">
        <v>169</v>
      </c>
      <c r="U87" s="160" t="s">
        <v>169</v>
      </c>
      <c r="V87" s="160" t="s">
        <v>169</v>
      </c>
      <c r="W87" s="160" t="s">
        <v>169</v>
      </c>
      <c r="X87" s="160" t="s">
        <v>169</v>
      </c>
      <c r="Y87" s="160" t="s">
        <v>169</v>
      </c>
      <c r="Z87" s="160" t="s">
        <v>169</v>
      </c>
      <c r="AA87" s="160" t="s">
        <v>356</v>
      </c>
      <c r="AB87" s="160" t="s">
        <v>333</v>
      </c>
      <c r="AC87" s="209" t="s">
        <v>334</v>
      </c>
    </row>
    <row r="88" spans="1:29" x14ac:dyDescent="0.25">
      <c r="A88" s="196"/>
      <c r="B88" s="435" t="s">
        <v>30</v>
      </c>
      <c r="C88" s="197" t="s">
        <v>24</v>
      </c>
      <c r="D88" s="198">
        <v>8</v>
      </c>
      <c r="E88" s="198">
        <v>8</v>
      </c>
      <c r="F88" s="198">
        <v>8</v>
      </c>
      <c r="G88" s="198">
        <v>8</v>
      </c>
      <c r="H88" s="198">
        <v>8</v>
      </c>
      <c r="I88" s="198">
        <v>8</v>
      </c>
      <c r="J88" s="198">
        <v>8</v>
      </c>
      <c r="K88" s="198">
        <v>8</v>
      </c>
      <c r="L88" s="198">
        <v>0</v>
      </c>
      <c r="M88" s="198">
        <v>0</v>
      </c>
      <c r="N88" s="198">
        <v>0</v>
      </c>
      <c r="O88" s="198">
        <v>0</v>
      </c>
      <c r="P88" s="198">
        <v>0</v>
      </c>
      <c r="Q88" s="198">
        <v>0</v>
      </c>
      <c r="R88" s="198">
        <v>8</v>
      </c>
      <c r="S88" s="198">
        <v>8</v>
      </c>
      <c r="T88" s="198">
        <v>8</v>
      </c>
      <c r="U88" s="198">
        <v>0</v>
      </c>
      <c r="V88" s="198">
        <v>0</v>
      </c>
      <c r="W88" s="198">
        <v>1</v>
      </c>
      <c r="X88" s="198">
        <v>1</v>
      </c>
      <c r="Y88" s="198">
        <v>1</v>
      </c>
      <c r="Z88" s="198">
        <v>8</v>
      </c>
      <c r="AA88" s="198">
        <v>24</v>
      </c>
      <c r="AB88" s="198">
        <v>24</v>
      </c>
      <c r="AC88" s="112">
        <v>24</v>
      </c>
    </row>
    <row r="89" spans="1:29" x14ac:dyDescent="0.25">
      <c r="A89" s="199"/>
      <c r="B89" s="416"/>
      <c r="C89" s="98" t="s">
        <v>40</v>
      </c>
      <c r="D89" s="200">
        <v>0.89990078818246932</v>
      </c>
      <c r="E89" s="200">
        <v>1.2328828005937955E-2</v>
      </c>
      <c r="F89" s="200">
        <v>1.9403607911932279E-2</v>
      </c>
      <c r="G89" s="200">
        <v>1.1963486114005408E-2</v>
      </c>
      <c r="H89" s="200">
        <v>6.4086994446169653E-4</v>
      </c>
      <c r="I89" s="200">
        <v>0.74438373360595744</v>
      </c>
      <c r="J89" s="200">
        <v>2.46254079009001E-2</v>
      </c>
      <c r="K89" s="200">
        <v>0.78694708480666542</v>
      </c>
      <c r="L89" s="200" t="s">
        <v>167</v>
      </c>
      <c r="M89" s="200" t="s">
        <v>167</v>
      </c>
      <c r="N89" s="200" t="s">
        <v>167</v>
      </c>
      <c r="O89" s="200" t="s">
        <v>167</v>
      </c>
      <c r="P89" s="200" t="s">
        <v>167</v>
      </c>
      <c r="Q89" s="200" t="s">
        <v>167</v>
      </c>
      <c r="R89" s="200" t="s">
        <v>167</v>
      </c>
      <c r="S89" s="200">
        <v>2.0658792662827961</v>
      </c>
      <c r="T89" s="200">
        <v>2.7255405754769875</v>
      </c>
      <c r="U89" s="200" t="s">
        <v>167</v>
      </c>
      <c r="V89" s="200" t="s">
        <v>167</v>
      </c>
      <c r="W89" s="200" t="s">
        <v>167</v>
      </c>
      <c r="X89" s="200" t="s">
        <v>167</v>
      </c>
      <c r="Y89" s="200" t="s">
        <v>167</v>
      </c>
      <c r="Z89" s="200">
        <v>1.4142135623730951</v>
      </c>
      <c r="AA89" s="146">
        <v>2.8770975961290426E-2</v>
      </c>
      <c r="AB89" s="146"/>
      <c r="AC89" s="147">
        <v>1.3318373917517791E-2</v>
      </c>
    </row>
    <row r="90" spans="1:29" x14ac:dyDescent="0.25">
      <c r="A90" s="199"/>
      <c r="B90" s="416"/>
      <c r="C90" s="98" t="s">
        <v>25</v>
      </c>
      <c r="D90" s="200">
        <v>3.4495478224531646E-2</v>
      </c>
      <c r="E90" s="200">
        <v>6.6696391701043843E-3</v>
      </c>
      <c r="F90" s="200">
        <v>1.3233492182051002E-2</v>
      </c>
      <c r="G90" s="200">
        <v>1.3051669018415828E-2</v>
      </c>
      <c r="H90" s="200">
        <v>2.4030745515320233E-4</v>
      </c>
      <c r="I90" s="200">
        <v>1.652808734068182E-2</v>
      </c>
      <c r="J90" s="200">
        <v>3.0063064734808607E-2</v>
      </c>
      <c r="K90" s="200">
        <v>9.266377212913339E-3</v>
      </c>
      <c r="L90" s="200" t="s">
        <v>167</v>
      </c>
      <c r="M90" s="200" t="s">
        <v>167</v>
      </c>
      <c r="N90" s="200" t="s">
        <v>167</v>
      </c>
      <c r="O90" s="200" t="s">
        <v>167</v>
      </c>
      <c r="P90" s="200" t="s">
        <v>167</v>
      </c>
      <c r="Q90" s="200" t="s">
        <v>167</v>
      </c>
      <c r="R90" s="200" t="s">
        <v>167</v>
      </c>
      <c r="S90" s="200">
        <v>2.4412162673947368E-2</v>
      </c>
      <c r="T90" s="200">
        <v>0.17034628596731172</v>
      </c>
      <c r="U90" s="200" t="s">
        <v>167</v>
      </c>
      <c r="V90" s="200" t="s">
        <v>167</v>
      </c>
      <c r="W90" s="200" t="s">
        <v>167</v>
      </c>
      <c r="X90" s="200" t="s">
        <v>167</v>
      </c>
      <c r="Y90" s="200" t="s">
        <v>167</v>
      </c>
      <c r="Z90" s="200">
        <v>0.20203050891044216</v>
      </c>
      <c r="AA90" s="146">
        <v>1.0806000361048043</v>
      </c>
      <c r="AB90" s="146"/>
      <c r="AC90" s="147">
        <v>2.7149188773128375E-2</v>
      </c>
    </row>
    <row r="91" spans="1:29" x14ac:dyDescent="0.25">
      <c r="A91" s="199"/>
      <c r="B91" s="416"/>
      <c r="C91" s="201" t="s">
        <v>55</v>
      </c>
      <c r="D91" s="202">
        <v>0.15</v>
      </c>
      <c r="E91" s="202">
        <v>0.05</v>
      </c>
      <c r="F91" s="202">
        <v>0.05</v>
      </c>
      <c r="G91" s="202">
        <v>0.05</v>
      </c>
      <c r="H91" s="202" t="s">
        <v>167</v>
      </c>
      <c r="I91" s="202" t="s">
        <v>167</v>
      </c>
      <c r="J91" s="202" t="s">
        <v>167</v>
      </c>
      <c r="K91" s="202" t="s">
        <v>167</v>
      </c>
      <c r="L91" s="202">
        <v>0.3</v>
      </c>
      <c r="M91" s="202">
        <v>0.3</v>
      </c>
      <c r="N91" s="202">
        <v>0.3</v>
      </c>
      <c r="O91" s="202" t="s">
        <v>167</v>
      </c>
      <c r="P91" s="202" t="s">
        <v>167</v>
      </c>
      <c r="Q91" s="202" t="s">
        <v>167</v>
      </c>
      <c r="R91" s="202" t="s">
        <v>167</v>
      </c>
      <c r="S91" s="202" t="s">
        <v>167</v>
      </c>
      <c r="T91" s="202" t="s">
        <v>167</v>
      </c>
      <c r="U91" s="202" t="s">
        <v>167</v>
      </c>
      <c r="V91" s="202">
        <v>0.4</v>
      </c>
      <c r="W91" s="202" t="s">
        <v>167</v>
      </c>
      <c r="X91" s="202" t="s">
        <v>167</v>
      </c>
      <c r="Y91" s="202">
        <v>0.3</v>
      </c>
      <c r="Z91" s="202" t="s">
        <v>167</v>
      </c>
      <c r="AA91" s="203">
        <v>0.3</v>
      </c>
      <c r="AB91" s="203">
        <v>0.3</v>
      </c>
      <c r="AC91" s="204">
        <v>0.3</v>
      </c>
    </row>
    <row r="92" spans="1:29" x14ac:dyDescent="0.25">
      <c r="A92" s="199"/>
      <c r="B92" s="416"/>
      <c r="C92" s="205" t="s">
        <v>164</v>
      </c>
      <c r="D92" s="200" t="s">
        <v>166</v>
      </c>
      <c r="E92" s="200" t="s">
        <v>166</v>
      </c>
      <c r="F92" s="200" t="s">
        <v>166</v>
      </c>
      <c r="G92" s="200" t="s">
        <v>166</v>
      </c>
      <c r="H92" s="200" t="s">
        <v>169</v>
      </c>
      <c r="I92" s="200" t="s">
        <v>169</v>
      </c>
      <c r="J92" s="200" t="s">
        <v>169</v>
      </c>
      <c r="K92" s="200" t="s">
        <v>169</v>
      </c>
      <c r="L92" s="200" t="s">
        <v>169</v>
      </c>
      <c r="M92" s="200" t="s">
        <v>169</v>
      </c>
      <c r="N92" s="200" t="s">
        <v>169</v>
      </c>
      <c r="O92" s="200" t="s">
        <v>169</v>
      </c>
      <c r="P92" s="200" t="s">
        <v>169</v>
      </c>
      <c r="Q92" s="200" t="s">
        <v>169</v>
      </c>
      <c r="R92" s="200" t="s">
        <v>169</v>
      </c>
      <c r="S92" s="200" t="s">
        <v>169</v>
      </c>
      <c r="T92" s="200" t="s">
        <v>169</v>
      </c>
      <c r="U92" s="200" t="s">
        <v>169</v>
      </c>
      <c r="V92" s="200" t="s">
        <v>169</v>
      </c>
      <c r="W92" s="200" t="s">
        <v>169</v>
      </c>
      <c r="X92" s="200" t="s">
        <v>169</v>
      </c>
      <c r="Y92" s="200" t="s">
        <v>169</v>
      </c>
      <c r="Z92" s="200" t="s">
        <v>169</v>
      </c>
      <c r="AA92" s="146" t="s">
        <v>319</v>
      </c>
      <c r="AB92" s="146" t="s">
        <v>169</v>
      </c>
      <c r="AC92" s="147" t="s">
        <v>166</v>
      </c>
    </row>
    <row r="93" spans="1:29" x14ac:dyDescent="0.25">
      <c r="A93" s="199"/>
      <c r="B93" s="148" t="s">
        <v>31</v>
      </c>
      <c r="C93" s="205" t="s">
        <v>163</v>
      </c>
      <c r="D93" s="200">
        <v>26.087499999999999</v>
      </c>
      <c r="E93" s="200">
        <v>1.8485</v>
      </c>
      <c r="F93" s="200">
        <v>1.4662499999999998</v>
      </c>
      <c r="G93" s="200">
        <v>0.91662500000000002</v>
      </c>
      <c r="H93" s="200">
        <v>2.6668750000000001</v>
      </c>
      <c r="I93" s="200">
        <v>45.037500000000001</v>
      </c>
      <c r="J93" s="200">
        <v>0.81912499999999999</v>
      </c>
      <c r="K93" s="200">
        <v>84.925000000000011</v>
      </c>
      <c r="L93" s="200" t="s">
        <v>167</v>
      </c>
      <c r="M93" s="200" t="s">
        <v>167</v>
      </c>
      <c r="N93" s="200" t="s">
        <v>167</v>
      </c>
      <c r="O93" s="200" t="s">
        <v>167</v>
      </c>
      <c r="P93" s="200" t="s">
        <v>167</v>
      </c>
      <c r="Q93" s="200" t="s">
        <v>167</v>
      </c>
      <c r="R93" s="200">
        <v>100</v>
      </c>
      <c r="S93" s="200">
        <v>84.625</v>
      </c>
      <c r="T93" s="200">
        <v>16</v>
      </c>
      <c r="U93" s="200" t="s">
        <v>167</v>
      </c>
      <c r="V93" s="200" t="s">
        <v>167</v>
      </c>
      <c r="W93" s="200" t="s">
        <v>167</v>
      </c>
      <c r="X93" s="200" t="s">
        <v>167</v>
      </c>
      <c r="Y93" s="200" t="s">
        <v>167</v>
      </c>
      <c r="Z93" s="200">
        <v>7</v>
      </c>
      <c r="AA93" s="146">
        <v>2.662500000000001E-2</v>
      </c>
      <c r="AB93" s="146" t="s">
        <v>335</v>
      </c>
      <c r="AC93" s="147">
        <v>0.49056250000000007</v>
      </c>
    </row>
    <row r="94" spans="1:29" x14ac:dyDescent="0.25">
      <c r="A94" s="199"/>
      <c r="B94" s="416" t="s">
        <v>72</v>
      </c>
      <c r="C94" s="205" t="s">
        <v>160</v>
      </c>
      <c r="D94" s="200" t="s">
        <v>169</v>
      </c>
      <c r="E94" s="200">
        <v>0.95</v>
      </c>
      <c r="F94" s="200">
        <v>0.95</v>
      </c>
      <c r="G94" s="200">
        <v>0.95</v>
      </c>
      <c r="H94" s="200" t="s">
        <v>169</v>
      </c>
      <c r="I94" s="200" t="s">
        <v>169</v>
      </c>
      <c r="J94" s="200" t="s">
        <v>169</v>
      </c>
      <c r="K94" s="200" t="s">
        <v>169</v>
      </c>
      <c r="L94" s="200" t="s">
        <v>169</v>
      </c>
      <c r="M94" s="200" t="s">
        <v>169</v>
      </c>
      <c r="N94" s="200" t="s">
        <v>169</v>
      </c>
      <c r="O94" s="200" t="s">
        <v>169</v>
      </c>
      <c r="P94" s="200" t="s">
        <v>169</v>
      </c>
      <c r="Q94" s="200" t="s">
        <v>169</v>
      </c>
      <c r="R94" s="200" t="s">
        <v>169</v>
      </c>
      <c r="S94" s="200" t="s">
        <v>169</v>
      </c>
      <c r="T94" s="200" t="s">
        <v>169</v>
      </c>
      <c r="U94" s="200" t="s">
        <v>169</v>
      </c>
      <c r="V94" s="200" t="s">
        <v>169</v>
      </c>
      <c r="W94" s="200" t="s">
        <v>169</v>
      </c>
      <c r="X94" s="200" t="s">
        <v>169</v>
      </c>
      <c r="Y94" s="200" t="s">
        <v>169</v>
      </c>
      <c r="Z94" s="200" t="s">
        <v>169</v>
      </c>
      <c r="AA94" s="146">
        <v>0.95</v>
      </c>
      <c r="AB94" s="146"/>
      <c r="AC94" s="147">
        <v>0.95</v>
      </c>
    </row>
    <row r="95" spans="1:29" x14ac:dyDescent="0.25">
      <c r="A95" s="199" t="s">
        <v>145</v>
      </c>
      <c r="B95" s="416"/>
      <c r="C95" s="205" t="s">
        <v>161</v>
      </c>
      <c r="D95" s="200" t="s">
        <v>169</v>
      </c>
      <c r="E95" s="200">
        <v>1.9</v>
      </c>
      <c r="F95" s="200">
        <v>1.9</v>
      </c>
      <c r="G95" s="200">
        <v>1.9</v>
      </c>
      <c r="H95" s="200" t="s">
        <v>169</v>
      </c>
      <c r="I95" s="200" t="s">
        <v>169</v>
      </c>
      <c r="J95" s="200" t="s">
        <v>169</v>
      </c>
      <c r="K95" s="200" t="s">
        <v>169</v>
      </c>
      <c r="L95" s="200" t="s">
        <v>169</v>
      </c>
      <c r="M95" s="200" t="s">
        <v>169</v>
      </c>
      <c r="N95" s="200" t="s">
        <v>169</v>
      </c>
      <c r="O95" s="200" t="s">
        <v>169</v>
      </c>
      <c r="P95" s="200" t="s">
        <v>169</v>
      </c>
      <c r="Q95" s="200" t="s">
        <v>169</v>
      </c>
      <c r="R95" s="200" t="s">
        <v>169</v>
      </c>
      <c r="S95" s="200" t="s">
        <v>169</v>
      </c>
      <c r="T95" s="200" t="s">
        <v>169</v>
      </c>
      <c r="U95" s="200" t="s">
        <v>169</v>
      </c>
      <c r="V95" s="200" t="s">
        <v>169</v>
      </c>
      <c r="W95" s="200" t="s">
        <v>169</v>
      </c>
      <c r="X95" s="200" t="s">
        <v>169</v>
      </c>
      <c r="Y95" s="200" t="s">
        <v>169</v>
      </c>
      <c r="Z95" s="200" t="s">
        <v>169</v>
      </c>
      <c r="AA95" s="146">
        <v>1.72</v>
      </c>
      <c r="AB95" s="146"/>
      <c r="AC95" s="147">
        <v>1.72</v>
      </c>
    </row>
    <row r="96" spans="1:29" x14ac:dyDescent="0.25">
      <c r="A96" s="199"/>
      <c r="B96" s="416"/>
      <c r="C96" s="205" t="s">
        <v>162</v>
      </c>
      <c r="D96" s="200" t="s">
        <v>169</v>
      </c>
      <c r="E96" s="200">
        <v>4.4803397309858151E-3</v>
      </c>
      <c r="F96" s="200">
        <v>8.8896174576720537E-3</v>
      </c>
      <c r="G96" s="200">
        <v>8.7674774852879913E-3</v>
      </c>
      <c r="H96" s="200" t="s">
        <v>169</v>
      </c>
      <c r="I96" s="200" t="s">
        <v>169</v>
      </c>
      <c r="J96" s="200" t="s">
        <v>169</v>
      </c>
      <c r="K96" s="200" t="s">
        <v>169</v>
      </c>
      <c r="L96" s="200" t="s">
        <v>169</v>
      </c>
      <c r="M96" s="200" t="s">
        <v>169</v>
      </c>
      <c r="N96" s="200" t="s">
        <v>169</v>
      </c>
      <c r="O96" s="200" t="s">
        <v>169</v>
      </c>
      <c r="P96" s="200" t="s">
        <v>169</v>
      </c>
      <c r="Q96" s="200" t="s">
        <v>169</v>
      </c>
      <c r="R96" s="200" t="s">
        <v>169</v>
      </c>
      <c r="S96" s="200" t="s">
        <v>169</v>
      </c>
      <c r="T96" s="200" t="s">
        <v>169</v>
      </c>
      <c r="U96" s="200" t="s">
        <v>169</v>
      </c>
      <c r="V96" s="200" t="s">
        <v>169</v>
      </c>
      <c r="W96" s="200" t="s">
        <v>169</v>
      </c>
      <c r="X96" s="200" t="s">
        <v>169</v>
      </c>
      <c r="Y96" s="200" t="s">
        <v>169</v>
      </c>
      <c r="Z96" s="200" t="s">
        <v>169</v>
      </c>
      <c r="AA96" s="146">
        <v>1.8586320621002632</v>
      </c>
      <c r="AB96" s="146"/>
      <c r="AC96" s="147">
        <v>4.6696604689780805E-2</v>
      </c>
    </row>
    <row r="97" spans="1:29" x14ac:dyDescent="0.25">
      <c r="A97" s="199"/>
      <c r="B97" s="416"/>
      <c r="C97" s="166" t="s">
        <v>155</v>
      </c>
      <c r="D97" s="146" t="s">
        <v>169</v>
      </c>
      <c r="E97" s="146" t="s">
        <v>293</v>
      </c>
      <c r="F97" s="146" t="s">
        <v>295</v>
      </c>
      <c r="G97" s="146" t="s">
        <v>297</v>
      </c>
      <c r="H97" s="146" t="s">
        <v>169</v>
      </c>
      <c r="I97" s="146" t="s">
        <v>169</v>
      </c>
      <c r="J97" s="146" t="s">
        <v>169</v>
      </c>
      <c r="K97" s="146" t="s">
        <v>169</v>
      </c>
      <c r="L97" s="146" t="s">
        <v>169</v>
      </c>
      <c r="M97" s="146" t="s">
        <v>169</v>
      </c>
      <c r="N97" s="146" t="s">
        <v>169</v>
      </c>
      <c r="O97" s="146" t="s">
        <v>169</v>
      </c>
      <c r="P97" s="146" t="s">
        <v>169</v>
      </c>
      <c r="Q97" s="146" t="s">
        <v>169</v>
      </c>
      <c r="R97" s="146" t="s">
        <v>169</v>
      </c>
      <c r="S97" s="146" t="s">
        <v>169</v>
      </c>
      <c r="T97" s="146" t="s">
        <v>169</v>
      </c>
      <c r="U97" s="146" t="s">
        <v>169</v>
      </c>
      <c r="V97" s="146" t="s">
        <v>169</v>
      </c>
      <c r="W97" s="146" t="s">
        <v>169</v>
      </c>
      <c r="X97" s="146" t="s">
        <v>169</v>
      </c>
      <c r="Y97" s="146" t="s">
        <v>169</v>
      </c>
      <c r="Z97" s="146" t="s">
        <v>169</v>
      </c>
      <c r="AA97" s="146" t="s">
        <v>363</v>
      </c>
      <c r="AB97" s="146" t="s">
        <v>336</v>
      </c>
      <c r="AC97" s="147" t="s">
        <v>337</v>
      </c>
    </row>
    <row r="98" spans="1:29" x14ac:dyDescent="0.25">
      <c r="A98" s="199"/>
      <c r="B98" s="432" t="s">
        <v>73</v>
      </c>
      <c r="C98" s="206" t="s">
        <v>157</v>
      </c>
      <c r="D98" s="207" t="s">
        <v>169</v>
      </c>
      <c r="E98" s="207">
        <v>0.85</v>
      </c>
      <c r="F98" s="207">
        <v>0.85</v>
      </c>
      <c r="G98" s="207">
        <v>0.85</v>
      </c>
      <c r="H98" s="207" t="s">
        <v>169</v>
      </c>
      <c r="I98" s="207" t="s">
        <v>169</v>
      </c>
      <c r="J98" s="207" t="s">
        <v>169</v>
      </c>
      <c r="K98" s="207" t="s">
        <v>169</v>
      </c>
      <c r="L98" s="207" t="s">
        <v>169</v>
      </c>
      <c r="M98" s="207" t="s">
        <v>169</v>
      </c>
      <c r="N98" s="207" t="s">
        <v>169</v>
      </c>
      <c r="O98" s="207" t="s">
        <v>169</v>
      </c>
      <c r="P98" s="207" t="s">
        <v>169</v>
      </c>
      <c r="Q98" s="207" t="s">
        <v>169</v>
      </c>
      <c r="R98" s="207" t="s">
        <v>169</v>
      </c>
      <c r="S98" s="207" t="s">
        <v>169</v>
      </c>
      <c r="T98" s="207" t="s">
        <v>169</v>
      </c>
      <c r="U98" s="207" t="s">
        <v>169</v>
      </c>
      <c r="V98" s="207" t="s">
        <v>169</v>
      </c>
      <c r="W98" s="207" t="s">
        <v>169</v>
      </c>
      <c r="X98" s="207" t="s">
        <v>169</v>
      </c>
      <c r="Y98" s="207" t="s">
        <v>169</v>
      </c>
      <c r="Z98" s="207" t="s">
        <v>169</v>
      </c>
      <c r="AA98" s="146">
        <v>0.85</v>
      </c>
      <c r="AB98" s="146"/>
      <c r="AC98" s="147">
        <v>0.85</v>
      </c>
    </row>
    <row r="99" spans="1:29" x14ac:dyDescent="0.25">
      <c r="A99" s="199"/>
      <c r="B99" s="433"/>
      <c r="C99" s="206" t="s">
        <v>158</v>
      </c>
      <c r="D99" s="207" t="s">
        <v>169</v>
      </c>
      <c r="E99" s="207">
        <v>1.1200000000000001</v>
      </c>
      <c r="F99" s="207">
        <v>1.1200000000000001</v>
      </c>
      <c r="G99" s="207">
        <v>1.1200000000000001</v>
      </c>
      <c r="H99" s="207" t="s">
        <v>169</v>
      </c>
      <c r="I99" s="207" t="s">
        <v>169</v>
      </c>
      <c r="J99" s="207" t="s">
        <v>169</v>
      </c>
      <c r="K99" s="207" t="s">
        <v>169</v>
      </c>
      <c r="L99" s="207" t="s">
        <v>169</v>
      </c>
      <c r="M99" s="207" t="s">
        <v>169</v>
      </c>
      <c r="N99" s="207" t="s">
        <v>169</v>
      </c>
      <c r="O99" s="207" t="s">
        <v>169</v>
      </c>
      <c r="P99" s="207" t="s">
        <v>169</v>
      </c>
      <c r="Q99" s="207" t="s">
        <v>169</v>
      </c>
      <c r="R99" s="207" t="s">
        <v>169</v>
      </c>
      <c r="S99" s="207" t="s">
        <v>169</v>
      </c>
      <c r="T99" s="207" t="s">
        <v>169</v>
      </c>
      <c r="U99" s="207" t="s">
        <v>169</v>
      </c>
      <c r="V99" s="207" t="s">
        <v>169</v>
      </c>
      <c r="W99" s="207" t="s">
        <v>169</v>
      </c>
      <c r="X99" s="207" t="s">
        <v>169</v>
      </c>
      <c r="Y99" s="207" t="s">
        <v>169</v>
      </c>
      <c r="Z99" s="207" t="s">
        <v>169</v>
      </c>
      <c r="AA99" s="146">
        <v>1.06</v>
      </c>
      <c r="AB99" s="146"/>
      <c r="AC99" s="147">
        <v>1.06</v>
      </c>
    </row>
    <row r="100" spans="1:29" x14ac:dyDescent="0.25">
      <c r="A100" s="199"/>
      <c r="B100" s="433"/>
      <c r="C100" s="206" t="s">
        <v>159</v>
      </c>
      <c r="D100" s="207" t="s">
        <v>169</v>
      </c>
      <c r="E100" s="207">
        <v>2.6410423677390073E-3</v>
      </c>
      <c r="F100" s="207">
        <v>5.2401955539961584E-3</v>
      </c>
      <c r="G100" s="207">
        <v>5.1681972544855535E-3</v>
      </c>
      <c r="H100" s="207" t="s">
        <v>169</v>
      </c>
      <c r="I100" s="207" t="s">
        <v>169</v>
      </c>
      <c r="J100" s="207" t="s">
        <v>169</v>
      </c>
      <c r="K100" s="207" t="s">
        <v>169</v>
      </c>
      <c r="L100" s="207" t="s">
        <v>169</v>
      </c>
      <c r="M100" s="207" t="s">
        <v>169</v>
      </c>
      <c r="N100" s="207" t="s">
        <v>169</v>
      </c>
      <c r="O100" s="207" t="s">
        <v>169</v>
      </c>
      <c r="P100" s="207" t="s">
        <v>169</v>
      </c>
      <c r="Q100" s="207" t="s">
        <v>169</v>
      </c>
      <c r="R100" s="207" t="s">
        <v>169</v>
      </c>
      <c r="S100" s="207" t="s">
        <v>169</v>
      </c>
      <c r="T100" s="207" t="s">
        <v>169</v>
      </c>
      <c r="U100" s="207" t="s">
        <v>169</v>
      </c>
      <c r="V100" s="207" t="s">
        <v>169</v>
      </c>
      <c r="W100" s="207" t="s">
        <v>169</v>
      </c>
      <c r="X100" s="207" t="s">
        <v>169</v>
      </c>
      <c r="Y100" s="207" t="s">
        <v>169</v>
      </c>
      <c r="Z100" s="207" t="s">
        <v>169</v>
      </c>
      <c r="AA100" s="146">
        <v>1.1454360382710926</v>
      </c>
      <c r="AB100" s="146"/>
      <c r="AC100" s="147">
        <v>2.877814009951608E-2</v>
      </c>
    </row>
    <row r="101" spans="1:29" ht="15.75" thickBot="1" x14ac:dyDescent="0.3">
      <c r="A101" s="208"/>
      <c r="B101" s="434"/>
      <c r="C101" s="124" t="s">
        <v>156</v>
      </c>
      <c r="D101" s="160" t="s">
        <v>169</v>
      </c>
      <c r="E101" s="160" t="s">
        <v>294</v>
      </c>
      <c r="F101" s="160" t="s">
        <v>296</v>
      </c>
      <c r="G101" s="160" t="s">
        <v>298</v>
      </c>
      <c r="H101" s="160" t="s">
        <v>169</v>
      </c>
      <c r="I101" s="160" t="s">
        <v>169</v>
      </c>
      <c r="J101" s="160" t="s">
        <v>169</v>
      </c>
      <c r="K101" s="160" t="s">
        <v>169</v>
      </c>
      <c r="L101" s="160" t="s">
        <v>169</v>
      </c>
      <c r="M101" s="160" t="s">
        <v>169</v>
      </c>
      <c r="N101" s="160" t="s">
        <v>169</v>
      </c>
      <c r="O101" s="160" t="s">
        <v>169</v>
      </c>
      <c r="P101" s="160" t="s">
        <v>169</v>
      </c>
      <c r="Q101" s="160" t="s">
        <v>169</v>
      </c>
      <c r="R101" s="160" t="s">
        <v>169</v>
      </c>
      <c r="S101" s="160" t="s">
        <v>169</v>
      </c>
      <c r="T101" s="160" t="s">
        <v>169</v>
      </c>
      <c r="U101" s="160" t="s">
        <v>169</v>
      </c>
      <c r="V101" s="160" t="s">
        <v>169</v>
      </c>
      <c r="W101" s="160" t="s">
        <v>169</v>
      </c>
      <c r="X101" s="160" t="s">
        <v>169</v>
      </c>
      <c r="Y101" s="160" t="s">
        <v>169</v>
      </c>
      <c r="Z101" s="160" t="s">
        <v>169</v>
      </c>
      <c r="AA101" s="160" t="s">
        <v>364</v>
      </c>
      <c r="AB101" s="160" t="s">
        <v>338</v>
      </c>
      <c r="AC101" s="209" t="s">
        <v>339</v>
      </c>
    </row>
    <row r="102" spans="1:29" x14ac:dyDescent="0.25">
      <c r="A102" s="196"/>
      <c r="B102" s="435" t="s">
        <v>30</v>
      </c>
      <c r="C102" s="197" t="s">
        <v>24</v>
      </c>
      <c r="D102" s="198"/>
      <c r="E102" s="198"/>
      <c r="F102" s="198"/>
      <c r="G102" s="198"/>
      <c r="H102" s="198"/>
      <c r="I102" s="198"/>
      <c r="J102" s="198"/>
      <c r="K102" s="198"/>
      <c r="L102" s="198"/>
      <c r="M102" s="198"/>
      <c r="N102" s="198"/>
      <c r="O102" s="198"/>
      <c r="P102" s="198"/>
      <c r="Q102" s="198"/>
      <c r="R102" s="198"/>
      <c r="S102" s="198"/>
      <c r="T102" s="198"/>
      <c r="U102" s="198"/>
      <c r="V102" s="198"/>
      <c r="W102" s="198"/>
      <c r="X102" s="198"/>
      <c r="Y102" s="198"/>
      <c r="Z102" s="198"/>
      <c r="AA102" s="198"/>
      <c r="AB102" s="198"/>
      <c r="AC102" s="112"/>
    </row>
    <row r="103" spans="1:29" x14ac:dyDescent="0.25">
      <c r="A103" s="199"/>
      <c r="B103" s="416"/>
      <c r="C103" s="98" t="s">
        <v>40</v>
      </c>
      <c r="D103" s="200"/>
      <c r="E103" s="200"/>
      <c r="F103" s="200"/>
      <c r="G103" s="200"/>
      <c r="H103" s="200"/>
      <c r="I103" s="200"/>
      <c r="J103" s="200"/>
      <c r="K103" s="200"/>
      <c r="L103" s="200"/>
      <c r="M103" s="200"/>
      <c r="N103" s="200"/>
      <c r="O103" s="200"/>
      <c r="P103" s="200"/>
      <c r="Q103" s="200"/>
      <c r="R103" s="200"/>
      <c r="S103" s="200"/>
      <c r="T103" s="200"/>
      <c r="U103" s="200"/>
      <c r="V103" s="200"/>
      <c r="W103" s="200"/>
      <c r="X103" s="200"/>
      <c r="Y103" s="200"/>
      <c r="Z103" s="200"/>
      <c r="AA103" s="146"/>
      <c r="AB103" s="146"/>
      <c r="AC103" s="147"/>
    </row>
    <row r="104" spans="1:29" x14ac:dyDescent="0.25">
      <c r="A104" s="199"/>
      <c r="B104" s="416"/>
      <c r="C104" s="98" t="s">
        <v>25</v>
      </c>
      <c r="D104" s="200"/>
      <c r="E104" s="200"/>
      <c r="F104" s="200"/>
      <c r="G104" s="200"/>
      <c r="H104" s="200"/>
      <c r="I104" s="200"/>
      <c r="J104" s="200"/>
      <c r="K104" s="200"/>
      <c r="L104" s="200"/>
      <c r="M104" s="200"/>
      <c r="N104" s="200"/>
      <c r="O104" s="200"/>
      <c r="P104" s="200"/>
      <c r="Q104" s="200"/>
      <c r="R104" s="200"/>
      <c r="S104" s="200"/>
      <c r="T104" s="200"/>
      <c r="U104" s="200"/>
      <c r="V104" s="200"/>
      <c r="W104" s="200"/>
      <c r="X104" s="200"/>
      <c r="Y104" s="200"/>
      <c r="Z104" s="200"/>
      <c r="AA104" s="146"/>
      <c r="AB104" s="146"/>
      <c r="AC104" s="147"/>
    </row>
    <row r="105" spans="1:29" x14ac:dyDescent="0.25">
      <c r="A105" s="199"/>
      <c r="B105" s="416"/>
      <c r="C105" s="201" t="s">
        <v>55</v>
      </c>
      <c r="D105" s="202"/>
      <c r="E105" s="202"/>
      <c r="F105" s="202"/>
      <c r="G105" s="202"/>
      <c r="H105" s="202"/>
      <c r="I105" s="202"/>
      <c r="J105" s="202"/>
      <c r="K105" s="202"/>
      <c r="L105" s="202"/>
      <c r="M105" s="202"/>
      <c r="N105" s="202"/>
      <c r="O105" s="202"/>
      <c r="P105" s="202"/>
      <c r="Q105" s="202"/>
      <c r="R105" s="202"/>
      <c r="S105" s="202"/>
      <c r="T105" s="202"/>
      <c r="U105" s="202"/>
      <c r="V105" s="202"/>
      <c r="W105" s="202"/>
      <c r="X105" s="202"/>
      <c r="Y105" s="202"/>
      <c r="Z105" s="202"/>
      <c r="AA105" s="203"/>
      <c r="AB105" s="203"/>
      <c r="AC105" s="204"/>
    </row>
    <row r="106" spans="1:29" x14ac:dyDescent="0.25">
      <c r="A106" s="199"/>
      <c r="B106" s="416"/>
      <c r="C106" s="205" t="s">
        <v>164</v>
      </c>
      <c r="D106" s="200"/>
      <c r="E106" s="200"/>
      <c r="F106" s="200"/>
      <c r="G106" s="200"/>
      <c r="H106" s="200"/>
      <c r="I106" s="200"/>
      <c r="J106" s="200"/>
      <c r="K106" s="200"/>
      <c r="L106" s="200"/>
      <c r="M106" s="200"/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200"/>
      <c r="Y106" s="200"/>
      <c r="Z106" s="200"/>
      <c r="AA106" s="146"/>
      <c r="AB106" s="146"/>
      <c r="AC106" s="147"/>
    </row>
    <row r="107" spans="1:29" x14ac:dyDescent="0.25">
      <c r="A107" s="199"/>
      <c r="B107" s="148" t="s">
        <v>31</v>
      </c>
      <c r="C107" s="205" t="s">
        <v>163</v>
      </c>
      <c r="D107" s="200"/>
      <c r="E107" s="200"/>
      <c r="F107" s="200"/>
      <c r="G107" s="200"/>
      <c r="H107" s="200"/>
      <c r="I107" s="200"/>
      <c r="J107" s="200"/>
      <c r="K107" s="200"/>
      <c r="L107" s="200"/>
      <c r="M107" s="200"/>
      <c r="N107" s="200"/>
      <c r="O107" s="200"/>
      <c r="P107" s="200"/>
      <c r="Q107" s="200"/>
      <c r="R107" s="200"/>
      <c r="S107" s="200"/>
      <c r="T107" s="200"/>
      <c r="U107" s="200"/>
      <c r="V107" s="200"/>
      <c r="W107" s="200"/>
      <c r="X107" s="200"/>
      <c r="Y107" s="200"/>
      <c r="Z107" s="200"/>
      <c r="AA107" s="146"/>
      <c r="AB107" s="146"/>
      <c r="AC107" s="147"/>
    </row>
    <row r="108" spans="1:29" x14ac:dyDescent="0.25">
      <c r="A108" s="199"/>
      <c r="B108" s="416" t="s">
        <v>72</v>
      </c>
      <c r="C108" s="205" t="s">
        <v>160</v>
      </c>
      <c r="D108" s="200"/>
      <c r="E108" s="200"/>
      <c r="F108" s="200"/>
      <c r="G108" s="200"/>
      <c r="H108" s="200"/>
      <c r="I108" s="200"/>
      <c r="J108" s="200"/>
      <c r="K108" s="200"/>
      <c r="L108" s="200"/>
      <c r="M108" s="200"/>
      <c r="N108" s="200"/>
      <c r="O108" s="200"/>
      <c r="P108" s="200"/>
      <c r="Q108" s="200"/>
      <c r="R108" s="200"/>
      <c r="S108" s="200"/>
      <c r="T108" s="200"/>
      <c r="U108" s="200"/>
      <c r="V108" s="200"/>
      <c r="W108" s="200"/>
      <c r="X108" s="200"/>
      <c r="Y108" s="200"/>
      <c r="Z108" s="200"/>
      <c r="AA108" s="146"/>
      <c r="AB108" s="146"/>
      <c r="AC108" s="147"/>
    </row>
    <row r="109" spans="1:29" x14ac:dyDescent="0.25">
      <c r="A109" s="199"/>
      <c r="B109" s="416"/>
      <c r="C109" s="205" t="s">
        <v>161</v>
      </c>
      <c r="D109" s="200"/>
      <c r="E109" s="200"/>
      <c r="F109" s="200"/>
      <c r="G109" s="200"/>
      <c r="H109" s="200"/>
      <c r="I109" s="200"/>
      <c r="J109" s="200"/>
      <c r="K109" s="200"/>
      <c r="L109" s="200"/>
      <c r="M109" s="200"/>
      <c r="N109" s="200"/>
      <c r="O109" s="200"/>
      <c r="P109" s="200"/>
      <c r="Q109" s="200"/>
      <c r="R109" s="200"/>
      <c r="S109" s="200"/>
      <c r="T109" s="200"/>
      <c r="U109" s="200"/>
      <c r="V109" s="200"/>
      <c r="W109" s="200"/>
      <c r="X109" s="200"/>
      <c r="Y109" s="200"/>
      <c r="Z109" s="200"/>
      <c r="AA109" s="146"/>
      <c r="AB109" s="146"/>
      <c r="AC109" s="147"/>
    </row>
    <row r="110" spans="1:29" x14ac:dyDescent="0.25">
      <c r="A110" s="199"/>
      <c r="B110" s="416"/>
      <c r="C110" s="205" t="s">
        <v>162</v>
      </c>
      <c r="D110" s="200"/>
      <c r="E110" s="200"/>
      <c r="F110" s="200"/>
      <c r="G110" s="200"/>
      <c r="H110" s="200"/>
      <c r="I110" s="200"/>
      <c r="J110" s="200"/>
      <c r="K110" s="200"/>
      <c r="L110" s="200"/>
      <c r="M110" s="200"/>
      <c r="N110" s="200"/>
      <c r="O110" s="200"/>
      <c r="P110" s="200"/>
      <c r="Q110" s="200"/>
      <c r="R110" s="200"/>
      <c r="S110" s="200"/>
      <c r="T110" s="200"/>
      <c r="U110" s="200"/>
      <c r="V110" s="200"/>
      <c r="W110" s="200"/>
      <c r="X110" s="200"/>
      <c r="Y110" s="200"/>
      <c r="Z110" s="200"/>
      <c r="AA110" s="146"/>
      <c r="AB110" s="146"/>
      <c r="AC110" s="147"/>
    </row>
    <row r="111" spans="1:29" x14ac:dyDescent="0.25">
      <c r="A111" s="199"/>
      <c r="B111" s="416"/>
      <c r="C111" s="166" t="s">
        <v>155</v>
      </c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7"/>
    </row>
    <row r="112" spans="1:29" x14ac:dyDescent="0.25">
      <c r="A112" s="199"/>
      <c r="B112" s="432" t="s">
        <v>73</v>
      </c>
      <c r="C112" s="206" t="s">
        <v>157</v>
      </c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207"/>
      <c r="O112" s="207"/>
      <c r="P112" s="207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  <c r="AA112" s="146"/>
      <c r="AB112" s="146"/>
      <c r="AC112" s="147"/>
    </row>
    <row r="113" spans="1:29" x14ac:dyDescent="0.25">
      <c r="A113" s="199"/>
      <c r="B113" s="433"/>
      <c r="C113" s="206" t="s">
        <v>158</v>
      </c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207"/>
      <c r="O113" s="207"/>
      <c r="P113" s="207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  <c r="AA113" s="146"/>
      <c r="AB113" s="146"/>
      <c r="AC113" s="147"/>
    </row>
    <row r="114" spans="1:29" x14ac:dyDescent="0.25">
      <c r="A114" s="199"/>
      <c r="B114" s="433"/>
      <c r="C114" s="206" t="s">
        <v>159</v>
      </c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207"/>
      <c r="O114" s="207"/>
      <c r="P114" s="207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  <c r="AA114" s="146"/>
      <c r="AB114" s="146"/>
      <c r="AC114" s="147"/>
    </row>
    <row r="115" spans="1:29" ht="15.75" thickBot="1" x14ac:dyDescent="0.3">
      <c r="A115" s="208"/>
      <c r="B115" s="434"/>
      <c r="C115" s="124" t="s">
        <v>156</v>
      </c>
      <c r="D115" s="160"/>
      <c r="E115" s="160"/>
      <c r="F115" s="160"/>
      <c r="G115" s="160"/>
      <c r="H115" s="160"/>
      <c r="I115" s="160"/>
      <c r="J115" s="160"/>
      <c r="K115" s="160"/>
      <c r="L115" s="160"/>
      <c r="M115" s="160"/>
      <c r="N115" s="160"/>
      <c r="O115" s="160"/>
      <c r="P115" s="160"/>
      <c r="Q115" s="160"/>
      <c r="R115" s="160"/>
      <c r="S115" s="160"/>
      <c r="T115" s="160"/>
      <c r="U115" s="160"/>
      <c r="V115" s="160"/>
      <c r="W115" s="160"/>
      <c r="X115" s="160"/>
      <c r="Y115" s="160"/>
      <c r="Z115" s="160"/>
      <c r="AA115" s="160"/>
      <c r="AB115" s="160"/>
      <c r="AC115" s="209"/>
    </row>
  </sheetData>
  <sheetProtection formatCells="0" formatColumns="0" formatRows="0" insertHyperlinks="0" sort="0" autoFilter="0" pivotTables="0"/>
  <mergeCells count="31">
    <mergeCell ref="A1:A3"/>
    <mergeCell ref="B1:B3"/>
    <mergeCell ref="E1:G1"/>
    <mergeCell ref="L1:N1"/>
    <mergeCell ref="B10:B13"/>
    <mergeCell ref="B42:B45"/>
    <mergeCell ref="B70:B73"/>
    <mergeCell ref="B46:B50"/>
    <mergeCell ref="B52:B55"/>
    <mergeCell ref="B56:B59"/>
    <mergeCell ref="B60:B64"/>
    <mergeCell ref="B66:B69"/>
    <mergeCell ref="AA1:AC1"/>
    <mergeCell ref="B38:B41"/>
    <mergeCell ref="P1:U1"/>
    <mergeCell ref="P2:U2"/>
    <mergeCell ref="B18:B22"/>
    <mergeCell ref="B14:B17"/>
    <mergeCell ref="B4:B8"/>
    <mergeCell ref="B24:B27"/>
    <mergeCell ref="B28:B31"/>
    <mergeCell ref="B32:B36"/>
    <mergeCell ref="B98:B101"/>
    <mergeCell ref="B102:B106"/>
    <mergeCell ref="B108:B111"/>
    <mergeCell ref="B112:B115"/>
    <mergeCell ref="B74:B78"/>
    <mergeCell ref="B80:B83"/>
    <mergeCell ref="B84:B87"/>
    <mergeCell ref="B88:B92"/>
    <mergeCell ref="B94:B97"/>
  </mergeCells>
  <pageMargins left="0.7" right="0.7" top="0.75" bottom="0.75" header="0.3" footer="0.3"/>
  <pageSetup paperSize="8" scale="56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A1:EH134"/>
  <sheetViews>
    <sheetView zoomScale="75" zoomScaleNormal="75" workbookViewId="0"/>
  </sheetViews>
  <sheetFormatPr defaultRowHeight="15" x14ac:dyDescent="0.25"/>
  <cols>
    <col min="1" max="1" width="9" style="285"/>
    <col min="2" max="2" width="10.625" style="285" bestFit="1" customWidth="1"/>
    <col min="3" max="3" width="11.625" style="285" bestFit="1" customWidth="1"/>
    <col min="4" max="4" width="11" style="285" bestFit="1" customWidth="1"/>
    <col min="5" max="5" width="12.625" style="285" bestFit="1" customWidth="1"/>
    <col min="6" max="6" width="10" style="285" customWidth="1"/>
    <col min="7" max="7" width="9" style="285"/>
    <col min="8" max="8" width="11" style="285" bestFit="1" customWidth="1"/>
    <col min="9" max="9" width="12.25" style="285" bestFit="1" customWidth="1"/>
    <col min="10" max="10" width="10.5" style="285" customWidth="1"/>
    <col min="11" max="11" width="11" style="285" customWidth="1"/>
    <col min="12" max="12" width="10.625" style="285" customWidth="1"/>
    <col min="13" max="13" width="9" style="285"/>
    <col min="14" max="14" width="11" style="285" bestFit="1" customWidth="1"/>
    <col min="15" max="15" width="12.25" style="285" bestFit="1" customWidth="1"/>
    <col min="16" max="16" width="10.5" style="285" customWidth="1"/>
    <col min="17" max="17" width="11" style="285" customWidth="1"/>
    <col min="18" max="18" width="10.625" style="285" customWidth="1"/>
    <col min="19" max="19" width="15.625" style="285" customWidth="1"/>
    <col min="20" max="20" width="11" style="285" bestFit="1" customWidth="1"/>
    <col min="21" max="21" width="12.25" style="285" bestFit="1" customWidth="1"/>
    <col min="22" max="22" width="10.5" style="285" customWidth="1"/>
    <col min="23" max="23" width="12.25" style="285" bestFit="1" customWidth="1"/>
    <col min="24" max="24" width="10.625" style="285" customWidth="1"/>
    <col min="25" max="16384" width="9" style="285"/>
  </cols>
  <sheetData>
    <row r="1" spans="1:138" ht="22.5" x14ac:dyDescent="0.3">
      <c r="A1" s="4" t="s">
        <v>365</v>
      </c>
    </row>
    <row r="2" spans="1:138" ht="15.75" thickBot="1" x14ac:dyDescent="0.3"/>
    <row r="3" spans="1:138" ht="19.5" customHeight="1" thickBot="1" x14ac:dyDescent="0.3">
      <c r="G3" s="465" t="s">
        <v>182</v>
      </c>
      <c r="H3" s="466"/>
      <c r="I3" s="466"/>
      <c r="J3" s="466"/>
      <c r="K3" s="466"/>
      <c r="L3" s="466"/>
      <c r="M3" s="466"/>
      <c r="N3" s="466"/>
      <c r="O3" s="466"/>
      <c r="P3" s="466"/>
      <c r="Q3" s="466"/>
      <c r="R3" s="466"/>
      <c r="S3" s="466"/>
      <c r="T3" s="466"/>
      <c r="U3" s="466"/>
      <c r="V3" s="466"/>
      <c r="W3" s="466"/>
      <c r="X3" s="467"/>
      <c r="AW3" s="459" t="s">
        <v>183</v>
      </c>
      <c r="AX3" s="460"/>
      <c r="AY3" s="460"/>
      <c r="AZ3" s="460"/>
      <c r="BA3" s="460"/>
      <c r="BB3" s="460"/>
      <c r="BC3" s="460"/>
      <c r="BD3" s="460"/>
      <c r="BE3" s="460"/>
      <c r="BF3" s="460"/>
      <c r="BG3" s="460"/>
      <c r="BH3" s="460"/>
      <c r="BI3" s="460"/>
      <c r="BJ3" s="460"/>
      <c r="BK3" s="460"/>
      <c r="BL3" s="460"/>
      <c r="BM3" s="460"/>
      <c r="BN3" s="461"/>
      <c r="BU3" s="459" t="s">
        <v>191</v>
      </c>
      <c r="BV3" s="460"/>
      <c r="BW3" s="460"/>
      <c r="BX3" s="460"/>
      <c r="BY3" s="460"/>
      <c r="BZ3" s="460"/>
      <c r="CA3" s="460"/>
      <c r="CB3" s="460"/>
      <c r="CC3" s="460"/>
      <c r="CD3" s="460"/>
      <c r="CE3" s="460"/>
      <c r="CF3" s="460"/>
      <c r="CG3" s="460"/>
      <c r="CH3" s="460"/>
      <c r="CI3" s="460"/>
      <c r="CJ3" s="460"/>
      <c r="CK3" s="460"/>
      <c r="CL3" s="460"/>
      <c r="CM3" s="460"/>
      <c r="CN3" s="460"/>
      <c r="CO3" s="460"/>
      <c r="CP3" s="460"/>
      <c r="CQ3" s="460"/>
      <c r="CR3" s="460"/>
      <c r="CS3" s="460"/>
      <c r="CT3" s="460"/>
      <c r="CU3" s="460"/>
      <c r="CV3" s="460"/>
      <c r="CW3" s="460"/>
      <c r="CX3" s="460"/>
      <c r="CY3" s="460"/>
      <c r="CZ3" s="460"/>
      <c r="DA3" s="460"/>
      <c r="DB3" s="460"/>
      <c r="DC3" s="460"/>
      <c r="DD3" s="461"/>
    </row>
    <row r="4" spans="1:138" ht="24" customHeight="1" thickBot="1" x14ac:dyDescent="0.3">
      <c r="A4" s="465" t="s">
        <v>174</v>
      </c>
      <c r="B4" s="466"/>
      <c r="C4" s="466"/>
      <c r="D4" s="466"/>
      <c r="E4" s="466"/>
      <c r="F4" s="467"/>
      <c r="G4" s="465" t="s">
        <v>177</v>
      </c>
      <c r="H4" s="466"/>
      <c r="I4" s="466"/>
      <c r="J4" s="466"/>
      <c r="K4" s="466"/>
      <c r="L4" s="467"/>
      <c r="M4" s="465" t="s">
        <v>178</v>
      </c>
      <c r="N4" s="466"/>
      <c r="O4" s="466"/>
      <c r="P4" s="466"/>
      <c r="Q4" s="466"/>
      <c r="R4" s="467"/>
      <c r="S4" s="465" t="s">
        <v>176</v>
      </c>
      <c r="T4" s="466"/>
      <c r="U4" s="466"/>
      <c r="V4" s="466"/>
      <c r="W4" s="466"/>
      <c r="X4" s="467"/>
      <c r="Y4" s="465" t="s">
        <v>175</v>
      </c>
      <c r="Z4" s="466"/>
      <c r="AA4" s="466"/>
      <c r="AB4" s="466"/>
      <c r="AC4" s="466"/>
      <c r="AD4" s="467"/>
      <c r="AE4" s="465" t="s">
        <v>179</v>
      </c>
      <c r="AF4" s="466"/>
      <c r="AG4" s="466"/>
      <c r="AH4" s="466"/>
      <c r="AI4" s="466"/>
      <c r="AJ4" s="467"/>
      <c r="AK4" s="465" t="s">
        <v>180</v>
      </c>
      <c r="AL4" s="466"/>
      <c r="AM4" s="466"/>
      <c r="AN4" s="466"/>
      <c r="AO4" s="466"/>
      <c r="AP4" s="467"/>
      <c r="AQ4" s="465" t="s">
        <v>181</v>
      </c>
      <c r="AR4" s="466"/>
      <c r="AS4" s="466"/>
      <c r="AT4" s="466"/>
      <c r="AU4" s="466"/>
      <c r="AV4" s="467"/>
      <c r="AW4" s="465" t="s">
        <v>126</v>
      </c>
      <c r="AX4" s="466"/>
      <c r="AY4" s="466"/>
      <c r="AZ4" s="466"/>
      <c r="BA4" s="466"/>
      <c r="BB4" s="467"/>
      <c r="BC4" s="465" t="s">
        <v>127</v>
      </c>
      <c r="BD4" s="466"/>
      <c r="BE4" s="466"/>
      <c r="BF4" s="466"/>
      <c r="BG4" s="466"/>
      <c r="BH4" s="467"/>
      <c r="BI4" s="465" t="s">
        <v>128</v>
      </c>
      <c r="BJ4" s="466"/>
      <c r="BK4" s="466"/>
      <c r="BL4" s="466"/>
      <c r="BM4" s="466"/>
      <c r="BN4" s="467"/>
      <c r="BO4" s="465" t="s">
        <v>184</v>
      </c>
      <c r="BP4" s="466"/>
      <c r="BQ4" s="466"/>
      <c r="BR4" s="466"/>
      <c r="BS4" s="466"/>
      <c r="BT4" s="467"/>
      <c r="BU4" s="465" t="s">
        <v>185</v>
      </c>
      <c r="BV4" s="466"/>
      <c r="BW4" s="466"/>
      <c r="BX4" s="466"/>
      <c r="BY4" s="466"/>
      <c r="BZ4" s="467"/>
      <c r="CA4" s="465" t="s">
        <v>186</v>
      </c>
      <c r="CB4" s="466"/>
      <c r="CC4" s="466"/>
      <c r="CD4" s="466"/>
      <c r="CE4" s="466"/>
      <c r="CF4" s="467"/>
      <c r="CG4" s="465" t="s">
        <v>187</v>
      </c>
      <c r="CH4" s="466"/>
      <c r="CI4" s="466"/>
      <c r="CJ4" s="466"/>
      <c r="CK4" s="466"/>
      <c r="CL4" s="467"/>
      <c r="CM4" s="465" t="s">
        <v>188</v>
      </c>
      <c r="CN4" s="466"/>
      <c r="CO4" s="466"/>
      <c r="CP4" s="466"/>
      <c r="CQ4" s="466"/>
      <c r="CR4" s="467"/>
      <c r="CS4" s="465" t="s">
        <v>189</v>
      </c>
      <c r="CT4" s="466"/>
      <c r="CU4" s="466"/>
      <c r="CV4" s="466"/>
      <c r="CW4" s="466"/>
      <c r="CX4" s="467"/>
      <c r="CY4" s="465" t="s">
        <v>190</v>
      </c>
      <c r="CZ4" s="466"/>
      <c r="DA4" s="466"/>
      <c r="DB4" s="466"/>
      <c r="DC4" s="466"/>
      <c r="DD4" s="467"/>
      <c r="DE4" s="465" t="s">
        <v>192</v>
      </c>
      <c r="DF4" s="466"/>
      <c r="DG4" s="466"/>
      <c r="DH4" s="466"/>
      <c r="DI4" s="466"/>
      <c r="DJ4" s="467"/>
      <c r="DK4" s="465" t="s">
        <v>193</v>
      </c>
      <c r="DL4" s="466"/>
      <c r="DM4" s="466"/>
      <c r="DN4" s="466"/>
      <c r="DO4" s="466"/>
      <c r="DP4" s="467"/>
      <c r="DQ4" s="465" t="s">
        <v>194</v>
      </c>
      <c r="DR4" s="466"/>
      <c r="DS4" s="466"/>
      <c r="DT4" s="466"/>
      <c r="DU4" s="466"/>
      <c r="DV4" s="467"/>
      <c r="DW4" s="465" t="s">
        <v>195</v>
      </c>
      <c r="DX4" s="466"/>
      <c r="DY4" s="466"/>
      <c r="DZ4" s="466"/>
      <c r="EA4" s="466"/>
      <c r="EB4" s="467"/>
      <c r="EC4" s="465" t="s">
        <v>113</v>
      </c>
      <c r="ED4" s="466"/>
      <c r="EE4" s="466"/>
      <c r="EF4" s="466"/>
      <c r="EG4" s="466"/>
      <c r="EH4" s="467"/>
    </row>
    <row r="5" spans="1:138" x14ac:dyDescent="0.25">
      <c r="A5" s="8" t="s">
        <v>0</v>
      </c>
      <c r="B5" s="9" t="s">
        <v>135</v>
      </c>
      <c r="C5" s="9" t="s">
        <v>136</v>
      </c>
      <c r="D5" s="9" t="s">
        <v>141</v>
      </c>
      <c r="E5" s="9" t="s">
        <v>142</v>
      </c>
      <c r="F5" s="10" t="s">
        <v>74</v>
      </c>
      <c r="G5" s="8" t="s">
        <v>0</v>
      </c>
      <c r="H5" s="9" t="s">
        <v>135</v>
      </c>
      <c r="I5" s="9" t="s">
        <v>136</v>
      </c>
      <c r="J5" s="9" t="s">
        <v>141</v>
      </c>
      <c r="K5" s="9" t="s">
        <v>142</v>
      </c>
      <c r="L5" s="10" t="s">
        <v>74</v>
      </c>
      <c r="M5" s="8" t="s">
        <v>0</v>
      </c>
      <c r="N5" s="9" t="s">
        <v>135</v>
      </c>
      <c r="O5" s="9" t="s">
        <v>136</v>
      </c>
      <c r="P5" s="9" t="s">
        <v>141</v>
      </c>
      <c r="Q5" s="9" t="s">
        <v>142</v>
      </c>
      <c r="R5" s="10" t="s">
        <v>74</v>
      </c>
      <c r="S5" s="8" t="s">
        <v>0</v>
      </c>
      <c r="T5" s="9" t="s">
        <v>135</v>
      </c>
      <c r="U5" s="9" t="s">
        <v>136</v>
      </c>
      <c r="V5" s="9" t="s">
        <v>141</v>
      </c>
      <c r="W5" s="9" t="s">
        <v>142</v>
      </c>
      <c r="X5" s="10" t="s">
        <v>74</v>
      </c>
      <c r="Y5" s="8" t="s">
        <v>0</v>
      </c>
      <c r="Z5" s="9" t="s">
        <v>135</v>
      </c>
      <c r="AA5" s="9" t="s">
        <v>136</v>
      </c>
      <c r="AB5" s="9" t="s">
        <v>141</v>
      </c>
      <c r="AC5" s="9" t="s">
        <v>142</v>
      </c>
      <c r="AD5" s="10" t="s">
        <v>74</v>
      </c>
      <c r="AE5" s="8" t="s">
        <v>0</v>
      </c>
      <c r="AF5" s="9" t="s">
        <v>135</v>
      </c>
      <c r="AG5" s="9" t="s">
        <v>136</v>
      </c>
      <c r="AH5" s="9" t="s">
        <v>141</v>
      </c>
      <c r="AI5" s="9" t="s">
        <v>142</v>
      </c>
      <c r="AJ5" s="10" t="s">
        <v>74</v>
      </c>
      <c r="AK5" s="8" t="s">
        <v>0</v>
      </c>
      <c r="AL5" s="9" t="s">
        <v>135</v>
      </c>
      <c r="AM5" s="9" t="s">
        <v>136</v>
      </c>
      <c r="AN5" s="9" t="s">
        <v>141</v>
      </c>
      <c r="AO5" s="9" t="s">
        <v>142</v>
      </c>
      <c r="AP5" s="10" t="s">
        <v>74</v>
      </c>
      <c r="AQ5" s="8" t="s">
        <v>0</v>
      </c>
      <c r="AR5" s="9" t="s">
        <v>135</v>
      </c>
      <c r="AS5" s="9" t="s">
        <v>136</v>
      </c>
      <c r="AT5" s="9" t="s">
        <v>141</v>
      </c>
      <c r="AU5" s="9" t="s">
        <v>142</v>
      </c>
      <c r="AV5" s="10" t="s">
        <v>74</v>
      </c>
      <c r="AW5" s="8" t="s">
        <v>0</v>
      </c>
      <c r="AX5" s="9" t="s">
        <v>135</v>
      </c>
      <c r="AY5" s="9" t="s">
        <v>136</v>
      </c>
      <c r="AZ5" s="9" t="s">
        <v>141</v>
      </c>
      <c r="BA5" s="9" t="s">
        <v>142</v>
      </c>
      <c r="BB5" s="10" t="s">
        <v>74</v>
      </c>
      <c r="BC5" s="8" t="s">
        <v>0</v>
      </c>
      <c r="BD5" s="9" t="s">
        <v>135</v>
      </c>
      <c r="BE5" s="9" t="s">
        <v>136</v>
      </c>
      <c r="BF5" s="9" t="s">
        <v>141</v>
      </c>
      <c r="BG5" s="9" t="s">
        <v>142</v>
      </c>
      <c r="BH5" s="10" t="s">
        <v>74</v>
      </c>
      <c r="BI5" s="8" t="s">
        <v>0</v>
      </c>
      <c r="BJ5" s="9" t="s">
        <v>135</v>
      </c>
      <c r="BK5" s="9" t="s">
        <v>136</v>
      </c>
      <c r="BL5" s="9" t="s">
        <v>141</v>
      </c>
      <c r="BM5" s="9" t="s">
        <v>142</v>
      </c>
      <c r="BN5" s="10" t="s">
        <v>74</v>
      </c>
      <c r="BO5" s="8" t="s">
        <v>0</v>
      </c>
      <c r="BP5" s="9" t="s">
        <v>135</v>
      </c>
      <c r="BQ5" s="9" t="s">
        <v>136</v>
      </c>
      <c r="BR5" s="9" t="s">
        <v>141</v>
      </c>
      <c r="BS5" s="9" t="s">
        <v>142</v>
      </c>
      <c r="BT5" s="10" t="s">
        <v>74</v>
      </c>
      <c r="BU5" s="8" t="s">
        <v>0</v>
      </c>
      <c r="BV5" s="9" t="s">
        <v>135</v>
      </c>
      <c r="BW5" s="9" t="s">
        <v>136</v>
      </c>
      <c r="BX5" s="9" t="s">
        <v>141</v>
      </c>
      <c r="BY5" s="9" t="s">
        <v>142</v>
      </c>
      <c r="BZ5" s="10" t="s">
        <v>74</v>
      </c>
      <c r="CA5" s="8" t="s">
        <v>0</v>
      </c>
      <c r="CB5" s="9" t="s">
        <v>135</v>
      </c>
      <c r="CC5" s="9" t="s">
        <v>136</v>
      </c>
      <c r="CD5" s="9" t="s">
        <v>141</v>
      </c>
      <c r="CE5" s="9" t="s">
        <v>142</v>
      </c>
      <c r="CF5" s="10" t="s">
        <v>74</v>
      </c>
      <c r="CG5" s="8" t="s">
        <v>0</v>
      </c>
      <c r="CH5" s="9" t="s">
        <v>135</v>
      </c>
      <c r="CI5" s="9" t="s">
        <v>136</v>
      </c>
      <c r="CJ5" s="9" t="s">
        <v>141</v>
      </c>
      <c r="CK5" s="9" t="s">
        <v>142</v>
      </c>
      <c r="CL5" s="10" t="s">
        <v>74</v>
      </c>
      <c r="CM5" s="8" t="s">
        <v>0</v>
      </c>
      <c r="CN5" s="9" t="s">
        <v>135</v>
      </c>
      <c r="CO5" s="9" t="s">
        <v>136</v>
      </c>
      <c r="CP5" s="9" t="s">
        <v>141</v>
      </c>
      <c r="CQ5" s="9" t="s">
        <v>142</v>
      </c>
      <c r="CR5" s="10" t="s">
        <v>74</v>
      </c>
      <c r="CS5" s="8" t="s">
        <v>0</v>
      </c>
      <c r="CT5" s="9" t="s">
        <v>135</v>
      </c>
      <c r="CU5" s="9" t="s">
        <v>136</v>
      </c>
      <c r="CV5" s="9" t="s">
        <v>141</v>
      </c>
      <c r="CW5" s="9" t="s">
        <v>142</v>
      </c>
      <c r="CX5" s="10" t="s">
        <v>74</v>
      </c>
      <c r="CY5" s="8" t="s">
        <v>0</v>
      </c>
      <c r="CZ5" s="9" t="s">
        <v>135</v>
      </c>
      <c r="DA5" s="9" t="s">
        <v>136</v>
      </c>
      <c r="DB5" s="9" t="s">
        <v>141</v>
      </c>
      <c r="DC5" s="9" t="s">
        <v>142</v>
      </c>
      <c r="DD5" s="10" t="s">
        <v>74</v>
      </c>
      <c r="DE5" s="8" t="s">
        <v>0</v>
      </c>
      <c r="DF5" s="9" t="s">
        <v>135</v>
      </c>
      <c r="DG5" s="9" t="s">
        <v>136</v>
      </c>
      <c r="DH5" s="9" t="s">
        <v>141</v>
      </c>
      <c r="DI5" s="9" t="s">
        <v>142</v>
      </c>
      <c r="DJ5" s="10" t="s">
        <v>74</v>
      </c>
      <c r="DK5" s="8" t="s">
        <v>0</v>
      </c>
      <c r="DL5" s="9" t="s">
        <v>135</v>
      </c>
      <c r="DM5" s="9" t="s">
        <v>136</v>
      </c>
      <c r="DN5" s="9" t="s">
        <v>141</v>
      </c>
      <c r="DO5" s="9" t="s">
        <v>142</v>
      </c>
      <c r="DP5" s="10" t="s">
        <v>74</v>
      </c>
      <c r="DQ5" s="8" t="s">
        <v>0</v>
      </c>
      <c r="DR5" s="9" t="s">
        <v>135</v>
      </c>
      <c r="DS5" s="9" t="s">
        <v>136</v>
      </c>
      <c r="DT5" s="9" t="s">
        <v>141</v>
      </c>
      <c r="DU5" s="9" t="s">
        <v>142</v>
      </c>
      <c r="DV5" s="10" t="s">
        <v>74</v>
      </c>
      <c r="DW5" s="8" t="s">
        <v>0</v>
      </c>
      <c r="DX5" s="9" t="s">
        <v>135</v>
      </c>
      <c r="DY5" s="9" t="s">
        <v>136</v>
      </c>
      <c r="DZ5" s="9" t="s">
        <v>141</v>
      </c>
      <c r="EA5" s="9" t="s">
        <v>142</v>
      </c>
      <c r="EB5" s="10" t="s">
        <v>74</v>
      </c>
      <c r="EC5" s="8" t="s">
        <v>0</v>
      </c>
      <c r="ED5" s="9" t="s">
        <v>135</v>
      </c>
      <c r="EE5" s="9" t="s">
        <v>136</v>
      </c>
      <c r="EF5" s="9" t="s">
        <v>141</v>
      </c>
      <c r="EG5" s="9" t="s">
        <v>142</v>
      </c>
      <c r="EH5" s="10" t="s">
        <v>74</v>
      </c>
    </row>
    <row r="6" spans="1:138" x14ac:dyDescent="0.25">
      <c r="A6" s="286">
        <v>1</v>
      </c>
      <c r="B6" s="287" t="s">
        <v>86</v>
      </c>
      <c r="C6" s="284">
        <v>27.6</v>
      </c>
      <c r="D6" s="288">
        <v>1.5125000000000028</v>
      </c>
      <c r="E6" s="289">
        <v>2.2876562500000084</v>
      </c>
      <c r="F6" s="290" t="s">
        <v>154</v>
      </c>
      <c r="G6" s="286">
        <v>1</v>
      </c>
      <c r="H6" s="287" t="s">
        <v>86</v>
      </c>
      <c r="I6" s="284">
        <v>1.8320000000000001</v>
      </c>
      <c r="J6" s="288">
        <v>1.6499999999999959E-2</v>
      </c>
      <c r="K6" s="289">
        <v>2.7224999999999868E-4</v>
      </c>
      <c r="L6" s="290" t="s">
        <v>154</v>
      </c>
      <c r="M6" s="286">
        <v>1</v>
      </c>
      <c r="N6" s="287" t="s">
        <v>86</v>
      </c>
      <c r="O6" s="284">
        <v>1.4359999999999999</v>
      </c>
      <c r="P6" s="288">
        <v>3.0249999999999888E-2</v>
      </c>
      <c r="Q6" s="289">
        <v>9.1506249999999325E-4</v>
      </c>
      <c r="R6" s="290" t="s">
        <v>154</v>
      </c>
      <c r="S6" s="286">
        <v>1</v>
      </c>
      <c r="T6" s="287" t="s">
        <v>86</v>
      </c>
      <c r="U6" s="284">
        <v>0.89800000000000002</v>
      </c>
      <c r="V6" s="288">
        <v>1.8625000000000003E-2</v>
      </c>
      <c r="W6" s="289">
        <v>3.4689062500000009E-4</v>
      </c>
      <c r="X6" s="290" t="s">
        <v>154</v>
      </c>
      <c r="Y6" s="286">
        <v>1</v>
      </c>
      <c r="Z6" s="287" t="s">
        <v>86</v>
      </c>
      <c r="AA6" s="284">
        <v>2.6680000000000001</v>
      </c>
      <c r="AB6" s="288">
        <v>1.1250000000000426E-3</v>
      </c>
      <c r="AC6" s="289">
        <v>1.265625000000096E-6</v>
      </c>
      <c r="AD6" s="290" t="s">
        <v>154</v>
      </c>
      <c r="AE6" s="286">
        <v>1</v>
      </c>
      <c r="AF6" s="287" t="s">
        <v>86</v>
      </c>
      <c r="AG6" s="284">
        <v>46.2</v>
      </c>
      <c r="AH6" s="288">
        <v>1.1625000000000014</v>
      </c>
      <c r="AI6" s="289">
        <v>1.3514062500000033</v>
      </c>
      <c r="AJ6" s="290" t="s">
        <v>154</v>
      </c>
      <c r="AK6" s="286">
        <v>1</v>
      </c>
      <c r="AL6" s="287" t="s">
        <v>86</v>
      </c>
      <c r="AM6" s="284">
        <v>0.85799999999999998</v>
      </c>
      <c r="AN6" s="288">
        <v>3.8874999999999993E-2</v>
      </c>
      <c r="AO6" s="289">
        <v>1.5112656249999994E-3</v>
      </c>
      <c r="AP6" s="290" t="s">
        <v>154</v>
      </c>
      <c r="AQ6" s="286">
        <v>1</v>
      </c>
      <c r="AR6" s="287" t="s">
        <v>86</v>
      </c>
      <c r="AS6" s="284">
        <v>85.8</v>
      </c>
      <c r="AT6" s="288">
        <v>0.87499999999998579</v>
      </c>
      <c r="AU6" s="289">
        <v>0.76562499999997513</v>
      </c>
      <c r="AV6" s="290" t="s">
        <v>154</v>
      </c>
      <c r="AW6" s="286">
        <v>1</v>
      </c>
      <c r="AX6" s="287" t="s">
        <v>86</v>
      </c>
      <c r="AY6" s="284" t="s">
        <v>144</v>
      </c>
      <c r="AZ6" s="288"/>
      <c r="BA6" s="289"/>
      <c r="BB6" s="290"/>
      <c r="BC6" s="286">
        <v>1</v>
      </c>
      <c r="BD6" s="287" t="s">
        <v>86</v>
      </c>
      <c r="BE6" s="284" t="s">
        <v>144</v>
      </c>
      <c r="BF6" s="288"/>
      <c r="BG6" s="289"/>
      <c r="BH6" s="290"/>
      <c r="BI6" s="286">
        <v>1</v>
      </c>
      <c r="BJ6" s="287" t="s">
        <v>86</v>
      </c>
      <c r="BK6" s="284" t="s">
        <v>144</v>
      </c>
      <c r="BL6" s="288"/>
      <c r="BM6" s="289"/>
      <c r="BN6" s="290"/>
      <c r="BO6" s="286">
        <v>1</v>
      </c>
      <c r="BP6" s="287" t="s">
        <v>86</v>
      </c>
      <c r="BQ6" s="284" t="s">
        <v>144</v>
      </c>
      <c r="BR6" s="288"/>
      <c r="BS6" s="289"/>
      <c r="BT6" s="290"/>
      <c r="BU6" s="286">
        <v>1</v>
      </c>
      <c r="BV6" s="287" t="s">
        <v>86</v>
      </c>
      <c r="BW6" s="284"/>
      <c r="BX6" s="288"/>
      <c r="BY6" s="289"/>
      <c r="BZ6" s="290"/>
      <c r="CA6" s="286">
        <v>1</v>
      </c>
      <c r="CB6" s="287" t="s">
        <v>86</v>
      </c>
      <c r="CC6" s="284"/>
      <c r="CD6" s="288"/>
      <c r="CE6" s="289"/>
      <c r="CF6" s="290"/>
      <c r="CG6" s="286">
        <v>1</v>
      </c>
      <c r="CH6" s="287" t="s">
        <v>86</v>
      </c>
      <c r="CI6" s="284">
        <v>100</v>
      </c>
      <c r="CJ6" s="288">
        <v>0</v>
      </c>
      <c r="CK6" s="289">
        <v>0</v>
      </c>
      <c r="CL6" s="290" t="s">
        <v>154</v>
      </c>
      <c r="CM6" s="286">
        <v>1</v>
      </c>
      <c r="CN6" s="287" t="s">
        <v>86</v>
      </c>
      <c r="CO6" s="284">
        <v>86</v>
      </c>
      <c r="CP6" s="288">
        <v>1.375</v>
      </c>
      <c r="CQ6" s="289">
        <v>1.890625</v>
      </c>
      <c r="CR6" s="290" t="s">
        <v>154</v>
      </c>
      <c r="CS6" s="286">
        <v>1</v>
      </c>
      <c r="CT6" s="287" t="s">
        <v>86</v>
      </c>
      <c r="CU6" s="284">
        <v>18</v>
      </c>
      <c r="CV6" s="288">
        <v>2</v>
      </c>
      <c r="CW6" s="289">
        <v>4</v>
      </c>
      <c r="CX6" s="290" t="s">
        <v>154</v>
      </c>
      <c r="CY6" s="286">
        <v>1</v>
      </c>
      <c r="CZ6" s="287" t="s">
        <v>86</v>
      </c>
      <c r="DA6" s="284" t="s">
        <v>144</v>
      </c>
      <c r="DB6" s="288"/>
      <c r="DC6" s="289"/>
      <c r="DD6" s="290"/>
      <c r="DE6" s="286">
        <v>1</v>
      </c>
      <c r="DF6" s="287" t="s">
        <v>86</v>
      </c>
      <c r="DG6" s="284"/>
      <c r="DH6" s="288"/>
      <c r="DI6" s="289"/>
      <c r="DJ6" s="290"/>
      <c r="DK6" s="286">
        <v>1</v>
      </c>
      <c r="DL6" s="287" t="s">
        <v>86</v>
      </c>
      <c r="DM6" s="284"/>
      <c r="DN6" s="288"/>
      <c r="DO6" s="289"/>
      <c r="DP6" s="290"/>
      <c r="DQ6" s="286">
        <v>1</v>
      </c>
      <c r="DR6" s="287" t="s">
        <v>86</v>
      </c>
      <c r="DS6" s="284"/>
      <c r="DT6" s="288"/>
      <c r="DU6" s="289"/>
      <c r="DV6" s="290"/>
      <c r="DW6" s="286">
        <v>1</v>
      </c>
      <c r="DX6" s="287" t="s">
        <v>86</v>
      </c>
      <c r="DY6" s="284"/>
      <c r="DZ6" s="288"/>
      <c r="EA6" s="289"/>
      <c r="EB6" s="290"/>
      <c r="EC6" s="286">
        <v>1</v>
      </c>
      <c r="ED6" s="287" t="s">
        <v>86</v>
      </c>
      <c r="EE6" s="284">
        <v>5</v>
      </c>
      <c r="EF6" s="288">
        <v>2</v>
      </c>
      <c r="EG6" s="289">
        <v>4</v>
      </c>
      <c r="EH6" s="290" t="s">
        <v>154</v>
      </c>
    </row>
    <row r="7" spans="1:138" x14ac:dyDescent="0.25">
      <c r="A7" s="286">
        <v>2</v>
      </c>
      <c r="B7" s="287" t="s">
        <v>89</v>
      </c>
      <c r="C7" s="284">
        <v>26.7</v>
      </c>
      <c r="D7" s="288">
        <v>0.61250000000000071</v>
      </c>
      <c r="E7" s="289">
        <v>0.37515625000000086</v>
      </c>
      <c r="F7" s="290" t="s">
        <v>154</v>
      </c>
      <c r="G7" s="286">
        <v>2</v>
      </c>
      <c r="H7" s="287" t="s">
        <v>89</v>
      </c>
      <c r="I7" s="284">
        <v>1.8360000000000001</v>
      </c>
      <c r="J7" s="288">
        <v>1.2499999999999956E-2</v>
      </c>
      <c r="K7" s="289">
        <v>1.5624999999999889E-4</v>
      </c>
      <c r="L7" s="290" t="s">
        <v>154</v>
      </c>
      <c r="M7" s="286">
        <v>2</v>
      </c>
      <c r="N7" s="287" t="s">
        <v>89</v>
      </c>
      <c r="O7" s="284">
        <v>1.4490000000000001</v>
      </c>
      <c r="P7" s="288">
        <v>1.7249999999999766E-2</v>
      </c>
      <c r="Q7" s="289">
        <v>2.975624999999919E-4</v>
      </c>
      <c r="R7" s="290" t="s">
        <v>154</v>
      </c>
      <c r="S7" s="286">
        <v>2</v>
      </c>
      <c r="T7" s="287" t="s">
        <v>89</v>
      </c>
      <c r="U7" s="284">
        <v>0.90600000000000003</v>
      </c>
      <c r="V7" s="288">
        <v>1.0624999999999996E-2</v>
      </c>
      <c r="W7" s="289">
        <v>1.128906249999999E-4</v>
      </c>
      <c r="X7" s="290" t="s">
        <v>154</v>
      </c>
      <c r="Y7" s="286">
        <v>2</v>
      </c>
      <c r="Z7" s="287" t="s">
        <v>89</v>
      </c>
      <c r="AA7" s="284">
        <v>2.6669999999999998</v>
      </c>
      <c r="AB7" s="288">
        <v>1.2499999999970868E-4</v>
      </c>
      <c r="AC7" s="289">
        <v>1.5624999999927168E-8</v>
      </c>
      <c r="AD7" s="290" t="s">
        <v>154</v>
      </c>
      <c r="AE7" s="286">
        <v>2</v>
      </c>
      <c r="AF7" s="287" t="s">
        <v>89</v>
      </c>
      <c r="AG7" s="284">
        <v>45.7</v>
      </c>
      <c r="AH7" s="288">
        <v>0.66250000000000142</v>
      </c>
      <c r="AI7" s="289">
        <v>0.43890625000000189</v>
      </c>
      <c r="AJ7" s="290" t="s">
        <v>154</v>
      </c>
      <c r="AK7" s="286">
        <v>2</v>
      </c>
      <c r="AL7" s="287" t="s">
        <v>89</v>
      </c>
      <c r="AM7" s="284">
        <v>0.84099999999999997</v>
      </c>
      <c r="AN7" s="288">
        <v>2.1874999999999978E-2</v>
      </c>
      <c r="AO7" s="289">
        <v>4.7851562499999902E-4</v>
      </c>
      <c r="AP7" s="290" t="s">
        <v>154</v>
      </c>
      <c r="AQ7" s="286">
        <v>2</v>
      </c>
      <c r="AR7" s="287" t="s">
        <v>89</v>
      </c>
      <c r="AS7" s="284">
        <v>84.7</v>
      </c>
      <c r="AT7" s="288">
        <v>0.22500000000000853</v>
      </c>
      <c r="AU7" s="289">
        <v>5.0625000000003834E-2</v>
      </c>
      <c r="AV7" s="290" t="s">
        <v>154</v>
      </c>
      <c r="AW7" s="286">
        <v>2</v>
      </c>
      <c r="AX7" s="287" t="s">
        <v>89</v>
      </c>
      <c r="AY7" s="284" t="s">
        <v>144</v>
      </c>
      <c r="AZ7" s="288"/>
      <c r="BA7" s="289"/>
      <c r="BB7" s="290"/>
      <c r="BC7" s="286">
        <v>2</v>
      </c>
      <c r="BD7" s="287" t="s">
        <v>89</v>
      </c>
      <c r="BE7" s="284" t="s">
        <v>144</v>
      </c>
      <c r="BF7" s="288"/>
      <c r="BG7" s="289"/>
      <c r="BH7" s="290"/>
      <c r="BI7" s="286">
        <v>2</v>
      </c>
      <c r="BJ7" s="287" t="s">
        <v>89</v>
      </c>
      <c r="BK7" s="284" t="s">
        <v>144</v>
      </c>
      <c r="BL7" s="288"/>
      <c r="BM7" s="289"/>
      <c r="BN7" s="290"/>
      <c r="BO7" s="286">
        <v>2</v>
      </c>
      <c r="BP7" s="287" t="s">
        <v>89</v>
      </c>
      <c r="BQ7" s="284" t="s">
        <v>144</v>
      </c>
      <c r="BR7" s="288"/>
      <c r="BS7" s="289"/>
      <c r="BT7" s="290"/>
      <c r="BU7" s="286">
        <v>2</v>
      </c>
      <c r="BV7" s="287" t="s">
        <v>89</v>
      </c>
      <c r="BW7" s="284"/>
      <c r="BX7" s="288"/>
      <c r="BY7" s="289"/>
      <c r="BZ7" s="290"/>
      <c r="CA7" s="286">
        <v>2</v>
      </c>
      <c r="CB7" s="287" t="s">
        <v>89</v>
      </c>
      <c r="CC7" s="284"/>
      <c r="CD7" s="288"/>
      <c r="CE7" s="289"/>
      <c r="CF7" s="290"/>
      <c r="CG7" s="286">
        <v>2</v>
      </c>
      <c r="CH7" s="287" t="s">
        <v>89</v>
      </c>
      <c r="CI7" s="284">
        <v>100</v>
      </c>
      <c r="CJ7" s="288">
        <v>0</v>
      </c>
      <c r="CK7" s="289">
        <v>0</v>
      </c>
      <c r="CL7" s="290" t="s">
        <v>154</v>
      </c>
      <c r="CM7" s="286">
        <v>2</v>
      </c>
      <c r="CN7" s="287" t="s">
        <v>89</v>
      </c>
      <c r="CO7" s="284">
        <v>82</v>
      </c>
      <c r="CP7" s="288">
        <v>2.625</v>
      </c>
      <c r="CQ7" s="289">
        <v>6.890625</v>
      </c>
      <c r="CR7" s="290" t="s">
        <v>154</v>
      </c>
      <c r="CS7" s="286">
        <v>2</v>
      </c>
      <c r="CT7" s="287" t="s">
        <v>89</v>
      </c>
      <c r="CU7" s="284">
        <v>15</v>
      </c>
      <c r="CV7" s="288">
        <v>1</v>
      </c>
      <c r="CW7" s="289">
        <v>1</v>
      </c>
      <c r="CX7" s="290" t="s">
        <v>154</v>
      </c>
      <c r="CY7" s="286">
        <v>2</v>
      </c>
      <c r="CZ7" s="287" t="s">
        <v>89</v>
      </c>
      <c r="DA7" s="284" t="s">
        <v>144</v>
      </c>
      <c r="DB7" s="288"/>
      <c r="DC7" s="289"/>
      <c r="DD7" s="290"/>
      <c r="DE7" s="286">
        <v>2</v>
      </c>
      <c r="DF7" s="287" t="s">
        <v>89</v>
      </c>
      <c r="DG7" s="284"/>
      <c r="DH7" s="288"/>
      <c r="DI7" s="289"/>
      <c r="DJ7" s="290"/>
      <c r="DK7" s="286">
        <v>2</v>
      </c>
      <c r="DL7" s="287" t="s">
        <v>89</v>
      </c>
      <c r="DM7" s="284"/>
      <c r="DN7" s="288"/>
      <c r="DO7" s="289"/>
      <c r="DP7" s="290"/>
      <c r="DQ7" s="286">
        <v>2</v>
      </c>
      <c r="DR7" s="287" t="s">
        <v>89</v>
      </c>
      <c r="DS7" s="284"/>
      <c r="DT7" s="288"/>
      <c r="DU7" s="289"/>
      <c r="DV7" s="290"/>
      <c r="DW7" s="286">
        <v>2</v>
      </c>
      <c r="DX7" s="287" t="s">
        <v>89</v>
      </c>
      <c r="DY7" s="284"/>
      <c r="DZ7" s="288"/>
      <c r="EA7" s="289"/>
      <c r="EB7" s="290"/>
      <c r="EC7" s="286">
        <v>2</v>
      </c>
      <c r="ED7" s="287" t="s">
        <v>89</v>
      </c>
      <c r="EE7" s="284">
        <v>6</v>
      </c>
      <c r="EF7" s="288">
        <v>1</v>
      </c>
      <c r="EG7" s="289">
        <v>1</v>
      </c>
      <c r="EH7" s="290" t="s">
        <v>154</v>
      </c>
    </row>
    <row r="8" spans="1:138" x14ac:dyDescent="0.25">
      <c r="A8" s="286">
        <v>3</v>
      </c>
      <c r="B8" s="287" t="s">
        <v>91</v>
      </c>
      <c r="C8" s="284">
        <v>26.1</v>
      </c>
      <c r="D8" s="288">
        <v>1.2500000000002842E-2</v>
      </c>
      <c r="E8" s="289">
        <v>1.5625000000007105E-4</v>
      </c>
      <c r="F8" s="290" t="s">
        <v>154</v>
      </c>
      <c r="G8" s="286">
        <v>3</v>
      </c>
      <c r="H8" s="287" t="s">
        <v>91</v>
      </c>
      <c r="I8" s="284">
        <v>1.86</v>
      </c>
      <c r="J8" s="288">
        <v>1.1500000000000066E-2</v>
      </c>
      <c r="K8" s="289">
        <v>1.3225000000000151E-4</v>
      </c>
      <c r="L8" s="290" t="s">
        <v>154</v>
      </c>
      <c r="M8" s="286">
        <v>3</v>
      </c>
      <c r="N8" s="287" t="s">
        <v>91</v>
      </c>
      <c r="O8" s="284">
        <v>1.4750000000000001</v>
      </c>
      <c r="P8" s="288">
        <v>8.7500000000002576E-3</v>
      </c>
      <c r="Q8" s="289">
        <v>7.6562500000004511E-5</v>
      </c>
      <c r="R8" s="290" t="s">
        <v>154</v>
      </c>
      <c r="S8" s="286">
        <v>3</v>
      </c>
      <c r="T8" s="287" t="s">
        <v>91</v>
      </c>
      <c r="U8" s="284">
        <v>0.92200000000000004</v>
      </c>
      <c r="V8" s="288">
        <v>5.3750000000000187E-3</v>
      </c>
      <c r="W8" s="289">
        <v>2.8890625000000199E-5</v>
      </c>
      <c r="X8" s="290" t="s">
        <v>154</v>
      </c>
      <c r="Y8" s="286">
        <v>3</v>
      </c>
      <c r="Z8" s="287" t="s">
        <v>91</v>
      </c>
      <c r="AA8" s="284">
        <v>2.6669999999999998</v>
      </c>
      <c r="AB8" s="288">
        <v>1.2499999999970868E-4</v>
      </c>
      <c r="AC8" s="289">
        <v>1.5624999999927168E-8</v>
      </c>
      <c r="AD8" s="290" t="s">
        <v>154</v>
      </c>
      <c r="AE8" s="286">
        <v>3</v>
      </c>
      <c r="AF8" s="287" t="s">
        <v>91</v>
      </c>
      <c r="AG8" s="284">
        <v>44.7</v>
      </c>
      <c r="AH8" s="288">
        <v>0.33749999999999858</v>
      </c>
      <c r="AI8" s="289">
        <v>0.11390624999999904</v>
      </c>
      <c r="AJ8" s="290" t="s">
        <v>154</v>
      </c>
      <c r="AK8" s="286">
        <v>3</v>
      </c>
      <c r="AL8" s="287" t="s">
        <v>91</v>
      </c>
      <c r="AM8" s="284">
        <v>0.80800000000000005</v>
      </c>
      <c r="AN8" s="288">
        <v>1.112499999999994E-2</v>
      </c>
      <c r="AO8" s="289">
        <v>1.2376562499999869E-4</v>
      </c>
      <c r="AP8" s="290" t="s">
        <v>154</v>
      </c>
      <c r="AQ8" s="286">
        <v>3</v>
      </c>
      <c r="AR8" s="287" t="s">
        <v>91</v>
      </c>
      <c r="AS8" s="284">
        <v>86.1</v>
      </c>
      <c r="AT8" s="288">
        <v>1.1749999999999829</v>
      </c>
      <c r="AU8" s="289">
        <v>1.38062499999996</v>
      </c>
      <c r="AV8" s="290" t="s">
        <v>154</v>
      </c>
      <c r="AW8" s="286">
        <v>3</v>
      </c>
      <c r="AX8" s="287" t="s">
        <v>91</v>
      </c>
      <c r="AY8" s="284" t="s">
        <v>144</v>
      </c>
      <c r="AZ8" s="288"/>
      <c r="BA8" s="289"/>
      <c r="BB8" s="290"/>
      <c r="BC8" s="286">
        <v>3</v>
      </c>
      <c r="BD8" s="287" t="s">
        <v>91</v>
      </c>
      <c r="BE8" s="284" t="s">
        <v>144</v>
      </c>
      <c r="BF8" s="288"/>
      <c r="BG8" s="289"/>
      <c r="BH8" s="290"/>
      <c r="BI8" s="286">
        <v>3</v>
      </c>
      <c r="BJ8" s="287" t="s">
        <v>91</v>
      </c>
      <c r="BK8" s="284" t="s">
        <v>144</v>
      </c>
      <c r="BL8" s="288"/>
      <c r="BM8" s="289"/>
      <c r="BN8" s="290"/>
      <c r="BO8" s="286">
        <v>3</v>
      </c>
      <c r="BP8" s="287" t="s">
        <v>91</v>
      </c>
      <c r="BQ8" s="284" t="s">
        <v>144</v>
      </c>
      <c r="BR8" s="288"/>
      <c r="BS8" s="289"/>
      <c r="BT8" s="290"/>
      <c r="BU8" s="286">
        <v>3</v>
      </c>
      <c r="BV8" s="287" t="s">
        <v>91</v>
      </c>
      <c r="BW8" s="284"/>
      <c r="BX8" s="288"/>
      <c r="BY8" s="289"/>
      <c r="BZ8" s="290"/>
      <c r="CA8" s="286">
        <v>3</v>
      </c>
      <c r="CB8" s="287" t="s">
        <v>91</v>
      </c>
      <c r="CC8" s="284"/>
      <c r="CD8" s="288"/>
      <c r="CE8" s="289"/>
      <c r="CF8" s="290"/>
      <c r="CG8" s="286">
        <v>3</v>
      </c>
      <c r="CH8" s="287" t="s">
        <v>91</v>
      </c>
      <c r="CI8" s="284">
        <v>100</v>
      </c>
      <c r="CJ8" s="288">
        <v>0</v>
      </c>
      <c r="CK8" s="289">
        <v>0</v>
      </c>
      <c r="CL8" s="290" t="s">
        <v>154</v>
      </c>
      <c r="CM8" s="286">
        <v>3</v>
      </c>
      <c r="CN8" s="287" t="s">
        <v>91</v>
      </c>
      <c r="CO8" s="284">
        <v>84</v>
      </c>
      <c r="CP8" s="288">
        <v>0.625</v>
      </c>
      <c r="CQ8" s="289">
        <v>0.390625</v>
      </c>
      <c r="CR8" s="290" t="s">
        <v>154</v>
      </c>
      <c r="CS8" s="286">
        <v>3</v>
      </c>
      <c r="CT8" s="287" t="s">
        <v>91</v>
      </c>
      <c r="CU8" s="284">
        <v>17</v>
      </c>
      <c r="CV8" s="288">
        <v>1</v>
      </c>
      <c r="CW8" s="289">
        <v>1</v>
      </c>
      <c r="CX8" s="290" t="s">
        <v>154</v>
      </c>
      <c r="CY8" s="286">
        <v>3</v>
      </c>
      <c r="CZ8" s="287" t="s">
        <v>91</v>
      </c>
      <c r="DA8" s="284" t="s">
        <v>144</v>
      </c>
      <c r="DB8" s="288"/>
      <c r="DC8" s="289"/>
      <c r="DD8" s="290"/>
      <c r="DE8" s="286">
        <v>3</v>
      </c>
      <c r="DF8" s="287" t="s">
        <v>91</v>
      </c>
      <c r="DG8" s="284"/>
      <c r="DH8" s="288"/>
      <c r="DI8" s="289"/>
      <c r="DJ8" s="290"/>
      <c r="DK8" s="286">
        <v>3</v>
      </c>
      <c r="DL8" s="287" t="s">
        <v>91</v>
      </c>
      <c r="DM8" s="284"/>
      <c r="DN8" s="288"/>
      <c r="DO8" s="289"/>
      <c r="DP8" s="290"/>
      <c r="DQ8" s="286">
        <v>3</v>
      </c>
      <c r="DR8" s="287" t="s">
        <v>91</v>
      </c>
      <c r="DS8" s="284"/>
      <c r="DT8" s="288"/>
      <c r="DU8" s="289"/>
      <c r="DV8" s="290"/>
      <c r="DW8" s="286">
        <v>3</v>
      </c>
      <c r="DX8" s="287" t="s">
        <v>91</v>
      </c>
      <c r="DY8" s="284"/>
      <c r="DZ8" s="288"/>
      <c r="EA8" s="289"/>
      <c r="EB8" s="290"/>
      <c r="EC8" s="286">
        <v>3</v>
      </c>
      <c r="ED8" s="287" t="s">
        <v>91</v>
      </c>
      <c r="EE8" s="284">
        <v>7</v>
      </c>
      <c r="EF8" s="288">
        <v>0</v>
      </c>
      <c r="EG8" s="289">
        <v>0</v>
      </c>
      <c r="EH8" s="290" t="s">
        <v>154</v>
      </c>
    </row>
    <row r="9" spans="1:138" x14ac:dyDescent="0.25">
      <c r="A9" s="286">
        <v>4</v>
      </c>
      <c r="B9" s="287" t="s">
        <v>93</v>
      </c>
      <c r="C9" s="284">
        <v>26.4</v>
      </c>
      <c r="D9" s="288">
        <v>0.3125</v>
      </c>
      <c r="E9" s="289">
        <v>9.765625E-2</v>
      </c>
      <c r="F9" s="290" t="s">
        <v>154</v>
      </c>
      <c r="G9" s="286">
        <v>4</v>
      </c>
      <c r="H9" s="287" t="s">
        <v>93</v>
      </c>
      <c r="I9" s="284">
        <v>1.84</v>
      </c>
      <c r="J9" s="288">
        <v>8.499999999999952E-3</v>
      </c>
      <c r="K9" s="289">
        <v>7.2249999999999181E-5</v>
      </c>
      <c r="L9" s="290" t="s">
        <v>154</v>
      </c>
      <c r="M9" s="286">
        <v>4</v>
      </c>
      <c r="N9" s="287" t="s">
        <v>93</v>
      </c>
      <c r="O9" s="284">
        <v>1.456</v>
      </c>
      <c r="P9" s="288">
        <v>1.024999999999987E-2</v>
      </c>
      <c r="Q9" s="289">
        <v>1.0506249999999734E-4</v>
      </c>
      <c r="R9" s="290" t="s">
        <v>154</v>
      </c>
      <c r="S9" s="286">
        <v>4</v>
      </c>
      <c r="T9" s="287" t="s">
        <v>93</v>
      </c>
      <c r="U9" s="284">
        <v>0.91</v>
      </c>
      <c r="V9" s="288">
        <v>6.624999999999992E-3</v>
      </c>
      <c r="W9" s="289">
        <v>4.3890624999999896E-5</v>
      </c>
      <c r="X9" s="290" t="s">
        <v>154</v>
      </c>
      <c r="Y9" s="286">
        <v>4</v>
      </c>
      <c r="Z9" s="287" t="s">
        <v>93</v>
      </c>
      <c r="AA9" s="284">
        <v>2.6669999999999998</v>
      </c>
      <c r="AB9" s="288">
        <v>1.2499999999970868E-4</v>
      </c>
      <c r="AC9" s="289">
        <v>1.5624999999927168E-8</v>
      </c>
      <c r="AD9" s="290" t="s">
        <v>154</v>
      </c>
      <c r="AE9" s="286">
        <v>4</v>
      </c>
      <c r="AF9" s="287" t="s">
        <v>93</v>
      </c>
      <c r="AG9" s="284">
        <v>45.4</v>
      </c>
      <c r="AH9" s="288">
        <v>0.36249999999999716</v>
      </c>
      <c r="AI9" s="289">
        <v>0.13140624999999795</v>
      </c>
      <c r="AJ9" s="290" t="s">
        <v>154</v>
      </c>
      <c r="AK9" s="286">
        <v>4</v>
      </c>
      <c r="AL9" s="287" t="s">
        <v>93</v>
      </c>
      <c r="AM9" s="284">
        <v>0.83199999999999996</v>
      </c>
      <c r="AN9" s="288">
        <v>1.287499999999997E-2</v>
      </c>
      <c r="AO9" s="289">
        <v>1.6576562499999922E-4</v>
      </c>
      <c r="AP9" s="290" t="s">
        <v>154</v>
      </c>
      <c r="AQ9" s="286">
        <v>4</v>
      </c>
      <c r="AR9" s="287" t="s">
        <v>93</v>
      </c>
      <c r="AS9" s="284">
        <v>84.7</v>
      </c>
      <c r="AT9" s="288">
        <v>0.22500000000000853</v>
      </c>
      <c r="AU9" s="289">
        <v>5.0625000000003834E-2</v>
      </c>
      <c r="AV9" s="290" t="s">
        <v>154</v>
      </c>
      <c r="AW9" s="286">
        <v>4</v>
      </c>
      <c r="AX9" s="287" t="s">
        <v>93</v>
      </c>
      <c r="AY9" s="284" t="s">
        <v>144</v>
      </c>
      <c r="AZ9" s="288"/>
      <c r="BA9" s="289"/>
      <c r="BB9" s="290"/>
      <c r="BC9" s="286">
        <v>4</v>
      </c>
      <c r="BD9" s="287" t="s">
        <v>93</v>
      </c>
      <c r="BE9" s="284" t="s">
        <v>144</v>
      </c>
      <c r="BF9" s="288"/>
      <c r="BG9" s="289"/>
      <c r="BH9" s="290"/>
      <c r="BI9" s="286">
        <v>4</v>
      </c>
      <c r="BJ9" s="287" t="s">
        <v>93</v>
      </c>
      <c r="BK9" s="284" t="s">
        <v>144</v>
      </c>
      <c r="BL9" s="288"/>
      <c r="BM9" s="289"/>
      <c r="BN9" s="290"/>
      <c r="BO9" s="286">
        <v>4</v>
      </c>
      <c r="BP9" s="287" t="s">
        <v>93</v>
      </c>
      <c r="BQ9" s="284" t="s">
        <v>144</v>
      </c>
      <c r="BR9" s="288"/>
      <c r="BS9" s="289"/>
      <c r="BT9" s="290"/>
      <c r="BU9" s="286">
        <v>4</v>
      </c>
      <c r="BV9" s="287" t="s">
        <v>93</v>
      </c>
      <c r="BW9" s="284"/>
      <c r="BX9" s="288"/>
      <c r="BY9" s="289"/>
      <c r="BZ9" s="290"/>
      <c r="CA9" s="286">
        <v>4</v>
      </c>
      <c r="CB9" s="287" t="s">
        <v>93</v>
      </c>
      <c r="CC9" s="284"/>
      <c r="CD9" s="288"/>
      <c r="CE9" s="289"/>
      <c r="CF9" s="290"/>
      <c r="CG9" s="286">
        <v>4</v>
      </c>
      <c r="CH9" s="287" t="s">
        <v>93</v>
      </c>
      <c r="CI9" s="284">
        <v>100</v>
      </c>
      <c r="CJ9" s="288">
        <v>0</v>
      </c>
      <c r="CK9" s="289">
        <v>0</v>
      </c>
      <c r="CL9" s="290" t="s">
        <v>154</v>
      </c>
      <c r="CM9" s="286">
        <v>4</v>
      </c>
      <c r="CN9" s="287" t="s">
        <v>93</v>
      </c>
      <c r="CO9" s="284">
        <v>86</v>
      </c>
      <c r="CP9" s="288">
        <v>1.375</v>
      </c>
      <c r="CQ9" s="289">
        <v>1.890625</v>
      </c>
      <c r="CR9" s="290" t="s">
        <v>154</v>
      </c>
      <c r="CS9" s="286">
        <v>4</v>
      </c>
      <c r="CT9" s="287" t="s">
        <v>93</v>
      </c>
      <c r="CU9" s="284">
        <v>16</v>
      </c>
      <c r="CV9" s="288">
        <v>0</v>
      </c>
      <c r="CW9" s="289">
        <v>0</v>
      </c>
      <c r="CX9" s="290" t="s">
        <v>154</v>
      </c>
      <c r="CY9" s="286">
        <v>4</v>
      </c>
      <c r="CZ9" s="287" t="s">
        <v>93</v>
      </c>
      <c r="DA9" s="284" t="s">
        <v>144</v>
      </c>
      <c r="DB9" s="288"/>
      <c r="DC9" s="289"/>
      <c r="DD9" s="290"/>
      <c r="DE9" s="286">
        <v>4</v>
      </c>
      <c r="DF9" s="287" t="s">
        <v>93</v>
      </c>
      <c r="DG9" s="284"/>
      <c r="DH9" s="288"/>
      <c r="DI9" s="289"/>
      <c r="DJ9" s="290"/>
      <c r="DK9" s="286">
        <v>4</v>
      </c>
      <c r="DL9" s="287" t="s">
        <v>93</v>
      </c>
      <c r="DM9" s="284"/>
      <c r="DN9" s="288"/>
      <c r="DO9" s="289"/>
      <c r="DP9" s="290"/>
      <c r="DQ9" s="286">
        <v>4</v>
      </c>
      <c r="DR9" s="287" t="s">
        <v>93</v>
      </c>
      <c r="DS9" s="284"/>
      <c r="DT9" s="288"/>
      <c r="DU9" s="289"/>
      <c r="DV9" s="290"/>
      <c r="DW9" s="286">
        <v>4</v>
      </c>
      <c r="DX9" s="287" t="s">
        <v>93</v>
      </c>
      <c r="DY9" s="284"/>
      <c r="DZ9" s="288"/>
      <c r="EA9" s="289"/>
      <c r="EB9" s="290"/>
      <c r="EC9" s="286">
        <v>4</v>
      </c>
      <c r="ED9" s="287" t="s">
        <v>93</v>
      </c>
      <c r="EE9" s="284">
        <v>6</v>
      </c>
      <c r="EF9" s="288">
        <v>1</v>
      </c>
      <c r="EG9" s="289">
        <v>1</v>
      </c>
      <c r="EH9" s="290" t="s">
        <v>154</v>
      </c>
    </row>
    <row r="10" spans="1:138" x14ac:dyDescent="0.25">
      <c r="A10" s="286">
        <v>5</v>
      </c>
      <c r="B10" s="287" t="s">
        <v>95</v>
      </c>
      <c r="C10" s="284">
        <v>25.7</v>
      </c>
      <c r="D10" s="288">
        <v>0.38749999999999929</v>
      </c>
      <c r="E10" s="289">
        <v>0.15015624999999944</v>
      </c>
      <c r="F10" s="290" t="s">
        <v>154</v>
      </c>
      <c r="G10" s="286">
        <v>5</v>
      </c>
      <c r="H10" s="287" t="s">
        <v>95</v>
      </c>
      <c r="I10" s="284">
        <v>1.845</v>
      </c>
      <c r="J10" s="288">
        <v>3.5000000000000586E-3</v>
      </c>
      <c r="K10" s="289">
        <v>1.225000000000041E-5</v>
      </c>
      <c r="L10" s="290" t="s">
        <v>154</v>
      </c>
      <c r="M10" s="286">
        <v>5</v>
      </c>
      <c r="N10" s="287" t="s">
        <v>95</v>
      </c>
      <c r="O10" s="284">
        <v>1.468</v>
      </c>
      <c r="P10" s="288">
        <v>1.7500000000001403E-3</v>
      </c>
      <c r="Q10" s="289">
        <v>3.0625000000004912E-6</v>
      </c>
      <c r="R10" s="290" t="s">
        <v>154</v>
      </c>
      <c r="S10" s="286">
        <v>5</v>
      </c>
      <c r="T10" s="287" t="s">
        <v>95</v>
      </c>
      <c r="U10" s="284">
        <v>0.91800000000000004</v>
      </c>
      <c r="V10" s="288">
        <v>1.3750000000000151E-3</v>
      </c>
      <c r="W10" s="289">
        <v>1.8906250000000415E-6</v>
      </c>
      <c r="X10" s="290" t="s">
        <v>154</v>
      </c>
      <c r="Y10" s="286">
        <v>5</v>
      </c>
      <c r="Z10" s="287" t="s">
        <v>95</v>
      </c>
      <c r="AA10" s="284">
        <v>2.6669999999999998</v>
      </c>
      <c r="AB10" s="288">
        <v>1.2499999999970868E-4</v>
      </c>
      <c r="AC10" s="289">
        <v>1.5624999999927168E-8</v>
      </c>
      <c r="AD10" s="290" t="s">
        <v>154</v>
      </c>
      <c r="AE10" s="286">
        <v>5</v>
      </c>
      <c r="AF10" s="287" t="s">
        <v>95</v>
      </c>
      <c r="AG10" s="284">
        <v>45</v>
      </c>
      <c r="AH10" s="288">
        <v>3.7500000000001421E-2</v>
      </c>
      <c r="AI10" s="289">
        <v>1.4062500000001066E-3</v>
      </c>
      <c r="AJ10" s="290" t="s">
        <v>154</v>
      </c>
      <c r="AK10" s="286">
        <v>5</v>
      </c>
      <c r="AL10" s="287" t="s">
        <v>95</v>
      </c>
      <c r="AM10" s="284">
        <v>0.81699999999999995</v>
      </c>
      <c r="AN10" s="288">
        <v>2.1250000000000435E-3</v>
      </c>
      <c r="AO10" s="289">
        <v>4.5156250000001851E-6</v>
      </c>
      <c r="AP10" s="290" t="s">
        <v>154</v>
      </c>
      <c r="AQ10" s="286">
        <v>5</v>
      </c>
      <c r="AR10" s="287" t="s">
        <v>95</v>
      </c>
      <c r="AS10" s="284">
        <v>83.9</v>
      </c>
      <c r="AT10" s="288">
        <v>1.0250000000000057</v>
      </c>
      <c r="AU10" s="289">
        <v>1.0506250000000117</v>
      </c>
      <c r="AV10" s="290" t="s">
        <v>154</v>
      </c>
      <c r="AW10" s="286">
        <v>5</v>
      </c>
      <c r="AX10" s="287" t="s">
        <v>95</v>
      </c>
      <c r="AY10" s="284" t="s">
        <v>144</v>
      </c>
      <c r="AZ10" s="288"/>
      <c r="BA10" s="289"/>
      <c r="BB10" s="290"/>
      <c r="BC10" s="286">
        <v>5</v>
      </c>
      <c r="BD10" s="287" t="s">
        <v>95</v>
      </c>
      <c r="BE10" s="284" t="s">
        <v>144</v>
      </c>
      <c r="BF10" s="288"/>
      <c r="BG10" s="289"/>
      <c r="BH10" s="290"/>
      <c r="BI10" s="286">
        <v>5</v>
      </c>
      <c r="BJ10" s="287" t="s">
        <v>95</v>
      </c>
      <c r="BK10" s="284" t="s">
        <v>144</v>
      </c>
      <c r="BL10" s="288"/>
      <c r="BM10" s="289"/>
      <c r="BN10" s="290"/>
      <c r="BO10" s="286">
        <v>5</v>
      </c>
      <c r="BP10" s="287" t="s">
        <v>95</v>
      </c>
      <c r="BQ10" s="284" t="s">
        <v>144</v>
      </c>
      <c r="BR10" s="288"/>
      <c r="BS10" s="289"/>
      <c r="BT10" s="290"/>
      <c r="BU10" s="286">
        <v>5</v>
      </c>
      <c r="BV10" s="287" t="s">
        <v>95</v>
      </c>
      <c r="BW10" s="284"/>
      <c r="BX10" s="288"/>
      <c r="BY10" s="289"/>
      <c r="BZ10" s="290"/>
      <c r="CA10" s="286">
        <v>5</v>
      </c>
      <c r="CB10" s="287" t="s">
        <v>95</v>
      </c>
      <c r="CC10" s="284"/>
      <c r="CD10" s="288"/>
      <c r="CE10" s="289"/>
      <c r="CF10" s="290"/>
      <c r="CG10" s="286">
        <v>5</v>
      </c>
      <c r="CH10" s="287" t="s">
        <v>95</v>
      </c>
      <c r="CI10" s="284">
        <v>100</v>
      </c>
      <c r="CJ10" s="288">
        <v>0</v>
      </c>
      <c r="CK10" s="289">
        <v>0</v>
      </c>
      <c r="CL10" s="290" t="s">
        <v>154</v>
      </c>
      <c r="CM10" s="286">
        <v>5</v>
      </c>
      <c r="CN10" s="287" t="s">
        <v>95</v>
      </c>
      <c r="CO10" s="284">
        <v>84</v>
      </c>
      <c r="CP10" s="288">
        <v>0.625</v>
      </c>
      <c r="CQ10" s="289">
        <v>0.390625</v>
      </c>
      <c r="CR10" s="290" t="s">
        <v>154</v>
      </c>
      <c r="CS10" s="286">
        <v>5</v>
      </c>
      <c r="CT10" s="287" t="s">
        <v>95</v>
      </c>
      <c r="CU10" s="284">
        <v>11</v>
      </c>
      <c r="CV10" s="288">
        <v>5</v>
      </c>
      <c r="CW10" s="289">
        <v>25</v>
      </c>
      <c r="CX10" s="290" t="s">
        <v>154</v>
      </c>
      <c r="CY10" s="286">
        <v>5</v>
      </c>
      <c r="CZ10" s="287" t="s">
        <v>95</v>
      </c>
      <c r="DA10" s="284" t="s">
        <v>144</v>
      </c>
      <c r="DB10" s="288"/>
      <c r="DC10" s="289"/>
      <c r="DD10" s="290"/>
      <c r="DE10" s="286">
        <v>5</v>
      </c>
      <c r="DF10" s="287" t="s">
        <v>95</v>
      </c>
      <c r="DG10" s="284"/>
      <c r="DH10" s="288"/>
      <c r="DI10" s="289"/>
      <c r="DJ10" s="290"/>
      <c r="DK10" s="286">
        <v>5</v>
      </c>
      <c r="DL10" s="287" t="s">
        <v>95</v>
      </c>
      <c r="DM10" s="284">
        <v>0.13400000000000001</v>
      </c>
      <c r="DN10" s="288"/>
      <c r="DO10" s="289"/>
      <c r="DP10" s="290" t="s">
        <v>154</v>
      </c>
      <c r="DQ10" s="286">
        <v>5</v>
      </c>
      <c r="DR10" s="287" t="s">
        <v>95</v>
      </c>
      <c r="DS10" s="284">
        <v>3.9E-2</v>
      </c>
      <c r="DT10" s="288"/>
      <c r="DU10" s="289"/>
      <c r="DV10" s="290" t="s">
        <v>154</v>
      </c>
      <c r="DW10" s="286">
        <v>5</v>
      </c>
      <c r="DX10" s="287" t="s">
        <v>95</v>
      </c>
      <c r="DY10" s="284">
        <v>27.065999999999999</v>
      </c>
      <c r="DZ10" s="288"/>
      <c r="EA10" s="289"/>
      <c r="EB10" s="290" t="s">
        <v>154</v>
      </c>
      <c r="EC10" s="286">
        <v>5</v>
      </c>
      <c r="ED10" s="287" t="s">
        <v>95</v>
      </c>
      <c r="EE10" s="284">
        <v>7</v>
      </c>
      <c r="EF10" s="288">
        <v>0</v>
      </c>
      <c r="EG10" s="289">
        <v>0</v>
      </c>
      <c r="EH10" s="290" t="s">
        <v>154</v>
      </c>
    </row>
    <row r="11" spans="1:138" x14ac:dyDescent="0.25">
      <c r="A11" s="286">
        <v>6</v>
      </c>
      <c r="B11" s="287" t="s">
        <v>253</v>
      </c>
      <c r="C11" s="284">
        <v>26.3</v>
      </c>
      <c r="D11" s="288">
        <v>0.21250000000000213</v>
      </c>
      <c r="E11" s="289">
        <v>4.5156250000000904E-2</v>
      </c>
      <c r="F11" s="290" t="s">
        <v>154</v>
      </c>
      <c r="G11" s="286">
        <v>6</v>
      </c>
      <c r="H11" s="287" t="s">
        <v>253</v>
      </c>
      <c r="I11" s="284">
        <v>1.85</v>
      </c>
      <c r="J11" s="288">
        <v>1.5000000000000568E-3</v>
      </c>
      <c r="K11" s="289">
        <v>2.2500000000001703E-6</v>
      </c>
      <c r="L11" s="290" t="s">
        <v>154</v>
      </c>
      <c r="M11" s="286">
        <v>6</v>
      </c>
      <c r="N11" s="287" t="s">
        <v>253</v>
      </c>
      <c r="O11" s="284">
        <v>1.4650000000000001</v>
      </c>
      <c r="P11" s="288">
        <v>1.2499999999997513E-3</v>
      </c>
      <c r="Q11" s="289">
        <v>1.5624999999993784E-6</v>
      </c>
      <c r="R11" s="290" t="s">
        <v>154</v>
      </c>
      <c r="S11" s="286">
        <v>6</v>
      </c>
      <c r="T11" s="287" t="s">
        <v>253</v>
      </c>
      <c r="U11" s="284">
        <v>0.91600000000000004</v>
      </c>
      <c r="V11" s="288">
        <v>6.2499999999998668E-4</v>
      </c>
      <c r="W11" s="289">
        <v>3.9062499999998334E-7</v>
      </c>
      <c r="X11" s="290" t="s">
        <v>154</v>
      </c>
      <c r="Y11" s="286">
        <v>6</v>
      </c>
      <c r="Z11" s="287" t="s">
        <v>253</v>
      </c>
      <c r="AA11" s="284">
        <v>2.6669999999999998</v>
      </c>
      <c r="AB11" s="288">
        <v>1.2499999999970868E-4</v>
      </c>
      <c r="AC11" s="289">
        <v>1.5624999999927168E-8</v>
      </c>
      <c r="AD11" s="290" t="s">
        <v>154</v>
      </c>
      <c r="AE11" s="286">
        <v>6</v>
      </c>
      <c r="AF11" s="287" t="s">
        <v>253</v>
      </c>
      <c r="AG11" s="284">
        <v>45.1</v>
      </c>
      <c r="AH11" s="288">
        <v>6.25E-2</v>
      </c>
      <c r="AI11" s="289">
        <v>3.90625E-3</v>
      </c>
      <c r="AJ11" s="290" t="s">
        <v>154</v>
      </c>
      <c r="AK11" s="286">
        <v>6</v>
      </c>
      <c r="AL11" s="287" t="s">
        <v>253</v>
      </c>
      <c r="AM11" s="284">
        <v>0.82</v>
      </c>
      <c r="AN11" s="288">
        <v>8.7499999999995914E-4</v>
      </c>
      <c r="AO11" s="289">
        <v>7.6562499999992851E-7</v>
      </c>
      <c r="AP11" s="290" t="s">
        <v>154</v>
      </c>
      <c r="AQ11" s="286">
        <v>6</v>
      </c>
      <c r="AR11" s="287" t="s">
        <v>253</v>
      </c>
      <c r="AS11" s="284">
        <v>85.5</v>
      </c>
      <c r="AT11" s="288">
        <v>0.57499999999998863</v>
      </c>
      <c r="AU11" s="289">
        <v>0.33062499999998696</v>
      </c>
      <c r="AV11" s="290" t="s">
        <v>154</v>
      </c>
      <c r="AW11" s="286">
        <v>6</v>
      </c>
      <c r="AX11" s="287" t="s">
        <v>253</v>
      </c>
      <c r="AY11" s="284" t="s">
        <v>144</v>
      </c>
      <c r="AZ11" s="288"/>
      <c r="BA11" s="289"/>
      <c r="BB11" s="290"/>
      <c r="BC11" s="286">
        <v>6</v>
      </c>
      <c r="BD11" s="287" t="s">
        <v>253</v>
      </c>
      <c r="BE11" s="284" t="s">
        <v>144</v>
      </c>
      <c r="BF11" s="288"/>
      <c r="BG11" s="289"/>
      <c r="BH11" s="290"/>
      <c r="BI11" s="286">
        <v>6</v>
      </c>
      <c r="BJ11" s="287" t="s">
        <v>253</v>
      </c>
      <c r="BK11" s="284" t="s">
        <v>144</v>
      </c>
      <c r="BL11" s="288"/>
      <c r="BM11" s="289"/>
      <c r="BN11" s="290"/>
      <c r="BO11" s="286">
        <v>6</v>
      </c>
      <c r="BP11" s="287" t="s">
        <v>253</v>
      </c>
      <c r="BQ11" s="284" t="s">
        <v>144</v>
      </c>
      <c r="BR11" s="288"/>
      <c r="BS11" s="289"/>
      <c r="BT11" s="290"/>
      <c r="BU11" s="286">
        <v>6</v>
      </c>
      <c r="BV11" s="287" t="s">
        <v>253</v>
      </c>
      <c r="BW11" s="284"/>
      <c r="BX11" s="288"/>
      <c r="BY11" s="289"/>
      <c r="BZ11" s="290"/>
      <c r="CA11" s="286">
        <v>6</v>
      </c>
      <c r="CB11" s="287" t="s">
        <v>253</v>
      </c>
      <c r="CC11" s="284"/>
      <c r="CD11" s="288"/>
      <c r="CE11" s="289"/>
      <c r="CF11" s="290"/>
      <c r="CG11" s="286">
        <v>6</v>
      </c>
      <c r="CH11" s="287" t="s">
        <v>253</v>
      </c>
      <c r="CI11" s="284">
        <v>100</v>
      </c>
      <c r="CJ11" s="288">
        <v>0</v>
      </c>
      <c r="CK11" s="289">
        <v>0</v>
      </c>
      <c r="CL11" s="290" t="s">
        <v>154</v>
      </c>
      <c r="CM11" s="286">
        <v>6</v>
      </c>
      <c r="CN11" s="287" t="s">
        <v>253</v>
      </c>
      <c r="CO11" s="284">
        <v>88</v>
      </c>
      <c r="CP11" s="288">
        <v>3.375</v>
      </c>
      <c r="CQ11" s="289">
        <v>11.390625</v>
      </c>
      <c r="CR11" s="290" t="s">
        <v>154</v>
      </c>
      <c r="CS11" s="286">
        <v>6</v>
      </c>
      <c r="CT11" s="287" t="s">
        <v>253</v>
      </c>
      <c r="CU11" s="284">
        <v>20</v>
      </c>
      <c r="CV11" s="288">
        <v>4</v>
      </c>
      <c r="CW11" s="289">
        <v>16</v>
      </c>
      <c r="CX11" s="290" t="s">
        <v>154</v>
      </c>
      <c r="CY11" s="286">
        <v>6</v>
      </c>
      <c r="CZ11" s="287" t="s">
        <v>253</v>
      </c>
      <c r="DA11" s="284" t="s">
        <v>144</v>
      </c>
      <c r="DB11" s="288"/>
      <c r="DC11" s="289"/>
      <c r="DD11" s="290"/>
      <c r="DE11" s="286">
        <v>6</v>
      </c>
      <c r="DF11" s="287" t="s">
        <v>253</v>
      </c>
      <c r="DG11" s="284"/>
      <c r="DH11" s="288"/>
      <c r="DI11" s="289"/>
      <c r="DJ11" s="290"/>
      <c r="DK11" s="286">
        <v>6</v>
      </c>
      <c r="DL11" s="287" t="s">
        <v>253</v>
      </c>
      <c r="DM11" s="284"/>
      <c r="DN11" s="288"/>
      <c r="DO11" s="289"/>
      <c r="DP11" s="290"/>
      <c r="DQ11" s="286">
        <v>6</v>
      </c>
      <c r="DR11" s="287" t="s">
        <v>253</v>
      </c>
      <c r="DS11" s="284"/>
      <c r="DT11" s="288"/>
      <c r="DU11" s="289"/>
      <c r="DV11" s="290"/>
      <c r="DW11" s="286">
        <v>6</v>
      </c>
      <c r="DX11" s="287" t="s">
        <v>253</v>
      </c>
      <c r="DY11" s="284"/>
      <c r="DZ11" s="288"/>
      <c r="EA11" s="289"/>
      <c r="EB11" s="290"/>
      <c r="EC11" s="286">
        <v>6</v>
      </c>
      <c r="ED11" s="287" t="s">
        <v>253</v>
      </c>
      <c r="EE11" s="284">
        <v>7</v>
      </c>
      <c r="EF11" s="288">
        <v>0</v>
      </c>
      <c r="EG11" s="289">
        <v>0</v>
      </c>
      <c r="EH11" s="290" t="s">
        <v>154</v>
      </c>
    </row>
    <row r="12" spans="1:138" x14ac:dyDescent="0.25">
      <c r="A12" s="286">
        <v>7</v>
      </c>
      <c r="B12" s="287" t="s">
        <v>254</v>
      </c>
      <c r="C12" s="284">
        <v>25.2</v>
      </c>
      <c r="D12" s="288">
        <v>0.88749999999999929</v>
      </c>
      <c r="E12" s="289">
        <v>0.78765624999999873</v>
      </c>
      <c r="F12" s="290" t="s">
        <v>154</v>
      </c>
      <c r="G12" s="286">
        <v>7</v>
      </c>
      <c r="H12" s="287" t="s">
        <v>254</v>
      </c>
      <c r="I12" s="284">
        <v>1.859</v>
      </c>
      <c r="J12" s="288">
        <v>1.0499999999999954E-2</v>
      </c>
      <c r="K12" s="289">
        <v>1.1024999999999903E-4</v>
      </c>
      <c r="L12" s="290" t="s">
        <v>154</v>
      </c>
      <c r="M12" s="286">
        <v>7</v>
      </c>
      <c r="N12" s="287" t="s">
        <v>254</v>
      </c>
      <c r="O12" s="284">
        <v>1.4850000000000001</v>
      </c>
      <c r="P12" s="288">
        <v>1.8750000000000266E-2</v>
      </c>
      <c r="Q12" s="289">
        <v>3.5156250000000996E-4</v>
      </c>
      <c r="R12" s="290" t="s">
        <v>154</v>
      </c>
      <c r="S12" s="286">
        <v>7</v>
      </c>
      <c r="T12" s="287" t="s">
        <v>254</v>
      </c>
      <c r="U12" s="284">
        <v>0.92800000000000005</v>
      </c>
      <c r="V12" s="288">
        <v>1.1375000000000024E-2</v>
      </c>
      <c r="W12" s="289">
        <v>1.2939062500000054E-4</v>
      </c>
      <c r="X12" s="290" t="s">
        <v>154</v>
      </c>
      <c r="Y12" s="286">
        <v>7</v>
      </c>
      <c r="Z12" s="287" t="s">
        <v>254</v>
      </c>
      <c r="AA12" s="284">
        <v>2.6659999999999999</v>
      </c>
      <c r="AB12" s="288">
        <v>8.7500000000018119E-4</v>
      </c>
      <c r="AC12" s="289">
        <v>7.6562500000031708E-7</v>
      </c>
      <c r="AD12" s="290" t="s">
        <v>154</v>
      </c>
      <c r="AE12" s="286">
        <v>7</v>
      </c>
      <c r="AF12" s="287" t="s">
        <v>254</v>
      </c>
      <c r="AG12" s="284">
        <v>44.3</v>
      </c>
      <c r="AH12" s="288">
        <v>0.73750000000000426</v>
      </c>
      <c r="AI12" s="289">
        <v>0.54390625000000625</v>
      </c>
      <c r="AJ12" s="290" t="s">
        <v>154</v>
      </c>
      <c r="AK12" s="286">
        <v>7</v>
      </c>
      <c r="AL12" s="287" t="s">
        <v>254</v>
      </c>
      <c r="AM12" s="284">
        <v>0.79500000000000004</v>
      </c>
      <c r="AN12" s="288">
        <v>2.4124999999999952E-2</v>
      </c>
      <c r="AO12" s="289">
        <v>5.8201562499999768E-4</v>
      </c>
      <c r="AP12" s="290" t="s">
        <v>154</v>
      </c>
      <c r="AQ12" s="286">
        <v>7</v>
      </c>
      <c r="AR12" s="287" t="s">
        <v>254</v>
      </c>
      <c r="AS12" s="284">
        <v>84.5</v>
      </c>
      <c r="AT12" s="288">
        <v>0.42500000000001137</v>
      </c>
      <c r="AU12" s="289">
        <v>0.18062500000000967</v>
      </c>
      <c r="AV12" s="290" t="s">
        <v>154</v>
      </c>
      <c r="AW12" s="286">
        <v>7</v>
      </c>
      <c r="AX12" s="287" t="s">
        <v>254</v>
      </c>
      <c r="AY12" s="284" t="s">
        <v>144</v>
      </c>
      <c r="AZ12" s="288"/>
      <c r="BA12" s="289"/>
      <c r="BB12" s="290"/>
      <c r="BC12" s="286">
        <v>7</v>
      </c>
      <c r="BD12" s="287" t="s">
        <v>254</v>
      </c>
      <c r="BE12" s="284" t="s">
        <v>144</v>
      </c>
      <c r="BF12" s="288"/>
      <c r="BG12" s="289"/>
      <c r="BH12" s="290"/>
      <c r="BI12" s="286">
        <v>7</v>
      </c>
      <c r="BJ12" s="287" t="s">
        <v>254</v>
      </c>
      <c r="BK12" s="284" t="s">
        <v>144</v>
      </c>
      <c r="BL12" s="288"/>
      <c r="BM12" s="289"/>
      <c r="BN12" s="290"/>
      <c r="BO12" s="286">
        <v>7</v>
      </c>
      <c r="BP12" s="287" t="s">
        <v>254</v>
      </c>
      <c r="BQ12" s="284" t="s">
        <v>144</v>
      </c>
      <c r="BR12" s="288"/>
      <c r="BS12" s="289"/>
      <c r="BT12" s="290"/>
      <c r="BU12" s="286">
        <v>7</v>
      </c>
      <c r="BV12" s="287" t="s">
        <v>254</v>
      </c>
      <c r="BW12" s="284"/>
      <c r="BX12" s="288"/>
      <c r="BY12" s="289"/>
      <c r="BZ12" s="290"/>
      <c r="CA12" s="286">
        <v>7</v>
      </c>
      <c r="CB12" s="287" t="s">
        <v>254</v>
      </c>
      <c r="CC12" s="284"/>
      <c r="CD12" s="288"/>
      <c r="CE12" s="289"/>
      <c r="CF12" s="290"/>
      <c r="CG12" s="286">
        <v>7</v>
      </c>
      <c r="CH12" s="287" t="s">
        <v>254</v>
      </c>
      <c r="CI12" s="284">
        <v>100</v>
      </c>
      <c r="CJ12" s="288">
        <v>0</v>
      </c>
      <c r="CK12" s="289">
        <v>0</v>
      </c>
      <c r="CL12" s="290" t="s">
        <v>154</v>
      </c>
      <c r="CM12" s="286">
        <v>7</v>
      </c>
      <c r="CN12" s="287" t="s">
        <v>254</v>
      </c>
      <c r="CO12" s="284">
        <v>85</v>
      </c>
      <c r="CP12" s="288">
        <v>0.375</v>
      </c>
      <c r="CQ12" s="289">
        <v>0.140625</v>
      </c>
      <c r="CR12" s="290" t="s">
        <v>154</v>
      </c>
      <c r="CS12" s="286">
        <v>7</v>
      </c>
      <c r="CT12" s="287" t="s">
        <v>254</v>
      </c>
      <c r="CU12" s="284">
        <v>17</v>
      </c>
      <c r="CV12" s="288">
        <v>1</v>
      </c>
      <c r="CW12" s="289">
        <v>1</v>
      </c>
      <c r="CX12" s="290" t="s">
        <v>154</v>
      </c>
      <c r="CY12" s="286">
        <v>7</v>
      </c>
      <c r="CZ12" s="287" t="s">
        <v>254</v>
      </c>
      <c r="DA12" s="284" t="s">
        <v>144</v>
      </c>
      <c r="DB12" s="288"/>
      <c r="DC12" s="289"/>
      <c r="DD12" s="290"/>
      <c r="DE12" s="286">
        <v>7</v>
      </c>
      <c r="DF12" s="287" t="s">
        <v>254</v>
      </c>
      <c r="DG12" s="284"/>
      <c r="DH12" s="288"/>
      <c r="DI12" s="289"/>
      <c r="DJ12" s="290"/>
      <c r="DK12" s="286">
        <v>7</v>
      </c>
      <c r="DL12" s="287" t="s">
        <v>254</v>
      </c>
      <c r="DM12" s="284"/>
      <c r="DN12" s="288"/>
      <c r="DO12" s="289"/>
      <c r="DP12" s="290"/>
      <c r="DQ12" s="286">
        <v>7</v>
      </c>
      <c r="DR12" s="287" t="s">
        <v>254</v>
      </c>
      <c r="DS12" s="284"/>
      <c r="DT12" s="288"/>
      <c r="DU12" s="289"/>
      <c r="DV12" s="290"/>
      <c r="DW12" s="286">
        <v>7</v>
      </c>
      <c r="DX12" s="287" t="s">
        <v>254</v>
      </c>
      <c r="DY12" s="284"/>
      <c r="DZ12" s="288"/>
      <c r="EA12" s="289"/>
      <c r="EB12" s="290"/>
      <c r="EC12" s="286">
        <v>7</v>
      </c>
      <c r="ED12" s="287" t="s">
        <v>254</v>
      </c>
      <c r="EE12" s="284">
        <v>9</v>
      </c>
      <c r="EF12" s="288">
        <v>2</v>
      </c>
      <c r="EG12" s="289">
        <v>4</v>
      </c>
      <c r="EH12" s="290" t="s">
        <v>154</v>
      </c>
    </row>
    <row r="13" spans="1:138" x14ac:dyDescent="0.25">
      <c r="A13" s="286">
        <v>8</v>
      </c>
      <c r="B13" s="287" t="s">
        <v>255</v>
      </c>
      <c r="C13" s="284">
        <v>24.7</v>
      </c>
      <c r="D13" s="288">
        <v>1.3874999999999993</v>
      </c>
      <c r="E13" s="289">
        <v>1.9251562499999981</v>
      </c>
      <c r="F13" s="290" t="s">
        <v>154</v>
      </c>
      <c r="G13" s="286">
        <v>8</v>
      </c>
      <c r="H13" s="287" t="s">
        <v>255</v>
      </c>
      <c r="I13" s="284">
        <v>1.8660000000000001</v>
      </c>
      <c r="J13" s="288">
        <v>1.7500000000000071E-2</v>
      </c>
      <c r="K13" s="289">
        <v>3.0625000000000248E-4</v>
      </c>
      <c r="L13" s="290" t="s">
        <v>154</v>
      </c>
      <c r="M13" s="286">
        <v>8</v>
      </c>
      <c r="N13" s="287" t="s">
        <v>255</v>
      </c>
      <c r="O13" s="284">
        <v>1.496</v>
      </c>
      <c r="P13" s="288">
        <v>2.9750000000000165E-2</v>
      </c>
      <c r="Q13" s="289">
        <v>8.8506250000000986E-4</v>
      </c>
      <c r="R13" s="290" t="s">
        <v>154</v>
      </c>
      <c r="S13" s="286">
        <v>8</v>
      </c>
      <c r="T13" s="287" t="s">
        <v>255</v>
      </c>
      <c r="U13" s="284">
        <v>0.93500000000000005</v>
      </c>
      <c r="V13" s="288">
        <v>1.837500000000003E-2</v>
      </c>
      <c r="W13" s="289">
        <v>3.3764062500000108E-4</v>
      </c>
      <c r="X13" s="290" t="s">
        <v>154</v>
      </c>
      <c r="Y13" s="286">
        <v>8</v>
      </c>
      <c r="Z13" s="287" t="s">
        <v>255</v>
      </c>
      <c r="AA13" s="284">
        <v>2.6659999999999999</v>
      </c>
      <c r="AB13" s="288">
        <v>8.7500000000018119E-4</v>
      </c>
      <c r="AC13" s="289">
        <v>7.6562500000031708E-7</v>
      </c>
      <c r="AD13" s="290" t="s">
        <v>154</v>
      </c>
      <c r="AE13" s="286">
        <v>8</v>
      </c>
      <c r="AF13" s="287" t="s">
        <v>255</v>
      </c>
      <c r="AG13" s="284">
        <v>43.9</v>
      </c>
      <c r="AH13" s="288">
        <v>1.1375000000000028</v>
      </c>
      <c r="AI13" s="289">
        <v>1.2939062500000065</v>
      </c>
      <c r="AJ13" s="290" t="s">
        <v>154</v>
      </c>
      <c r="AK13" s="286">
        <v>8</v>
      </c>
      <c r="AL13" s="287" t="s">
        <v>255</v>
      </c>
      <c r="AM13" s="284">
        <v>0.78200000000000003</v>
      </c>
      <c r="AN13" s="288">
        <v>3.7124999999999964E-2</v>
      </c>
      <c r="AO13" s="289">
        <v>1.3782656249999973E-3</v>
      </c>
      <c r="AP13" s="290" t="s">
        <v>154</v>
      </c>
      <c r="AQ13" s="286">
        <v>8</v>
      </c>
      <c r="AR13" s="287" t="s">
        <v>255</v>
      </c>
      <c r="AS13" s="284">
        <v>84.2</v>
      </c>
      <c r="AT13" s="288">
        <v>0.72500000000000853</v>
      </c>
      <c r="AU13" s="289">
        <v>0.52562500000001233</v>
      </c>
      <c r="AV13" s="290" t="s">
        <v>154</v>
      </c>
      <c r="AW13" s="286">
        <v>8</v>
      </c>
      <c r="AX13" s="287" t="s">
        <v>255</v>
      </c>
      <c r="AY13" s="284" t="s">
        <v>144</v>
      </c>
      <c r="AZ13" s="288"/>
      <c r="BA13" s="289"/>
      <c r="BB13" s="290"/>
      <c r="BC13" s="286">
        <v>8</v>
      </c>
      <c r="BD13" s="287" t="s">
        <v>255</v>
      </c>
      <c r="BE13" s="284" t="s">
        <v>144</v>
      </c>
      <c r="BF13" s="288"/>
      <c r="BG13" s="289"/>
      <c r="BH13" s="290"/>
      <c r="BI13" s="286">
        <v>8</v>
      </c>
      <c r="BJ13" s="287" t="s">
        <v>255</v>
      </c>
      <c r="BK13" s="284" t="s">
        <v>144</v>
      </c>
      <c r="BL13" s="288"/>
      <c r="BM13" s="289"/>
      <c r="BN13" s="290"/>
      <c r="BO13" s="286">
        <v>8</v>
      </c>
      <c r="BP13" s="287" t="s">
        <v>255</v>
      </c>
      <c r="BQ13" s="284" t="s">
        <v>144</v>
      </c>
      <c r="BR13" s="288"/>
      <c r="BS13" s="289"/>
      <c r="BT13" s="290"/>
      <c r="BU13" s="286">
        <v>8</v>
      </c>
      <c r="BV13" s="287" t="s">
        <v>255</v>
      </c>
      <c r="BW13" s="284"/>
      <c r="BX13" s="288"/>
      <c r="BY13" s="289"/>
      <c r="BZ13" s="290"/>
      <c r="CA13" s="286">
        <v>8</v>
      </c>
      <c r="CB13" s="287" t="s">
        <v>255</v>
      </c>
      <c r="CC13" s="284"/>
      <c r="CD13" s="288"/>
      <c r="CE13" s="289"/>
      <c r="CF13" s="290"/>
      <c r="CG13" s="286">
        <v>8</v>
      </c>
      <c r="CH13" s="287" t="s">
        <v>255</v>
      </c>
      <c r="CI13" s="284">
        <v>100</v>
      </c>
      <c r="CJ13" s="288">
        <v>0</v>
      </c>
      <c r="CK13" s="289">
        <v>0</v>
      </c>
      <c r="CL13" s="290" t="s">
        <v>154</v>
      </c>
      <c r="CM13" s="286">
        <v>8</v>
      </c>
      <c r="CN13" s="287" t="s">
        <v>255</v>
      </c>
      <c r="CO13" s="284">
        <v>82</v>
      </c>
      <c r="CP13" s="288">
        <v>2.625</v>
      </c>
      <c r="CQ13" s="289">
        <v>6.890625</v>
      </c>
      <c r="CR13" s="290" t="s">
        <v>154</v>
      </c>
      <c r="CS13" s="286">
        <v>8</v>
      </c>
      <c r="CT13" s="287" t="s">
        <v>255</v>
      </c>
      <c r="CU13" s="284">
        <v>14</v>
      </c>
      <c r="CV13" s="288">
        <v>2</v>
      </c>
      <c r="CW13" s="289">
        <v>4</v>
      </c>
      <c r="CX13" s="290" t="s">
        <v>154</v>
      </c>
      <c r="CY13" s="286">
        <v>8</v>
      </c>
      <c r="CZ13" s="287" t="s">
        <v>255</v>
      </c>
      <c r="DA13" s="284" t="s">
        <v>144</v>
      </c>
      <c r="DB13" s="288"/>
      <c r="DC13" s="289"/>
      <c r="DD13" s="290"/>
      <c r="DE13" s="286">
        <v>8</v>
      </c>
      <c r="DF13" s="287" t="s">
        <v>255</v>
      </c>
      <c r="DG13" s="284"/>
      <c r="DH13" s="288"/>
      <c r="DI13" s="289"/>
      <c r="DJ13" s="290"/>
      <c r="DK13" s="286">
        <v>8</v>
      </c>
      <c r="DL13" s="287" t="s">
        <v>255</v>
      </c>
      <c r="DM13" s="284"/>
      <c r="DN13" s="288"/>
      <c r="DO13" s="289"/>
      <c r="DP13" s="290"/>
      <c r="DQ13" s="286">
        <v>8</v>
      </c>
      <c r="DR13" s="287" t="s">
        <v>255</v>
      </c>
      <c r="DS13" s="284"/>
      <c r="DT13" s="288"/>
      <c r="DU13" s="289"/>
      <c r="DV13" s="290"/>
      <c r="DW13" s="286">
        <v>8</v>
      </c>
      <c r="DX13" s="287" t="s">
        <v>255</v>
      </c>
      <c r="DY13" s="284"/>
      <c r="DZ13" s="288"/>
      <c r="EA13" s="289"/>
      <c r="EB13" s="290"/>
      <c r="EC13" s="286">
        <v>8</v>
      </c>
      <c r="ED13" s="287" t="s">
        <v>255</v>
      </c>
      <c r="EE13" s="284">
        <v>9</v>
      </c>
      <c r="EF13" s="288">
        <v>2</v>
      </c>
      <c r="EG13" s="289">
        <v>4</v>
      </c>
      <c r="EH13" s="290" t="s">
        <v>154</v>
      </c>
    </row>
    <row r="14" spans="1:138" x14ac:dyDescent="0.25">
      <c r="A14" s="286">
        <v>9</v>
      </c>
      <c r="B14" s="287"/>
      <c r="C14" s="284"/>
      <c r="D14" s="288"/>
      <c r="E14" s="289"/>
      <c r="F14" s="290"/>
      <c r="G14" s="286">
        <v>9</v>
      </c>
      <c r="H14" s="287"/>
      <c r="I14" s="284"/>
      <c r="J14" s="288"/>
      <c r="K14" s="289"/>
      <c r="L14" s="290"/>
      <c r="M14" s="286">
        <v>9</v>
      </c>
      <c r="N14" s="287"/>
      <c r="O14" s="284"/>
      <c r="P14" s="288"/>
      <c r="Q14" s="289"/>
      <c r="R14" s="290"/>
      <c r="S14" s="286">
        <v>9</v>
      </c>
      <c r="T14" s="287"/>
      <c r="U14" s="284"/>
      <c r="V14" s="288"/>
      <c r="W14" s="289"/>
      <c r="X14" s="290"/>
      <c r="Y14" s="286">
        <v>9</v>
      </c>
      <c r="Z14" s="287"/>
      <c r="AA14" s="284"/>
      <c r="AB14" s="288"/>
      <c r="AC14" s="289"/>
      <c r="AD14" s="290"/>
      <c r="AE14" s="286">
        <v>9</v>
      </c>
      <c r="AF14" s="287"/>
      <c r="AG14" s="284"/>
      <c r="AH14" s="288"/>
      <c r="AI14" s="289"/>
      <c r="AJ14" s="290"/>
      <c r="AK14" s="286">
        <v>9</v>
      </c>
      <c r="AL14" s="287"/>
      <c r="AM14" s="284"/>
      <c r="AN14" s="288"/>
      <c r="AO14" s="289"/>
      <c r="AP14" s="290"/>
      <c r="AQ14" s="286">
        <v>9</v>
      </c>
      <c r="AR14" s="287"/>
      <c r="AS14" s="284"/>
      <c r="AT14" s="288"/>
      <c r="AU14" s="289"/>
      <c r="AV14" s="290"/>
      <c r="AW14" s="286">
        <v>9</v>
      </c>
      <c r="AX14" s="287"/>
      <c r="AY14" s="284"/>
      <c r="AZ14" s="288"/>
      <c r="BA14" s="289"/>
      <c r="BB14" s="290"/>
      <c r="BC14" s="286">
        <v>9</v>
      </c>
      <c r="BD14" s="287"/>
      <c r="BE14" s="284"/>
      <c r="BF14" s="288"/>
      <c r="BG14" s="289"/>
      <c r="BH14" s="290"/>
      <c r="BI14" s="286">
        <v>9</v>
      </c>
      <c r="BJ14" s="287"/>
      <c r="BK14" s="284"/>
      <c r="BL14" s="288"/>
      <c r="BM14" s="289"/>
      <c r="BN14" s="290"/>
      <c r="BO14" s="286">
        <v>9</v>
      </c>
      <c r="BP14" s="287"/>
      <c r="BQ14" s="284"/>
      <c r="BR14" s="288"/>
      <c r="BS14" s="289"/>
      <c r="BT14" s="290"/>
      <c r="BU14" s="286">
        <v>9</v>
      </c>
      <c r="BV14" s="287"/>
      <c r="BW14" s="284"/>
      <c r="BX14" s="288"/>
      <c r="BY14" s="289"/>
      <c r="BZ14" s="290"/>
      <c r="CA14" s="286">
        <v>9</v>
      </c>
      <c r="CB14" s="287"/>
      <c r="CC14" s="284"/>
      <c r="CD14" s="288"/>
      <c r="CE14" s="289"/>
      <c r="CF14" s="290"/>
      <c r="CG14" s="286">
        <v>9</v>
      </c>
      <c r="CH14" s="287"/>
      <c r="CI14" s="284"/>
      <c r="CJ14" s="288"/>
      <c r="CK14" s="289"/>
      <c r="CL14" s="290"/>
      <c r="CM14" s="286">
        <v>9</v>
      </c>
      <c r="CN14" s="287"/>
      <c r="CO14" s="284"/>
      <c r="CP14" s="288"/>
      <c r="CQ14" s="289"/>
      <c r="CR14" s="290"/>
      <c r="CS14" s="286">
        <v>9</v>
      </c>
      <c r="CT14" s="287"/>
      <c r="CU14" s="284"/>
      <c r="CV14" s="288"/>
      <c r="CW14" s="289"/>
      <c r="CX14" s="290"/>
      <c r="CY14" s="286">
        <v>9</v>
      </c>
      <c r="CZ14" s="287"/>
      <c r="DA14" s="284"/>
      <c r="DB14" s="288"/>
      <c r="DC14" s="289"/>
      <c r="DD14" s="290"/>
      <c r="DE14" s="286">
        <v>9</v>
      </c>
      <c r="DF14" s="287"/>
      <c r="DG14" s="284"/>
      <c r="DH14" s="288"/>
      <c r="DI14" s="289"/>
      <c r="DJ14" s="290"/>
      <c r="DK14" s="286">
        <v>9</v>
      </c>
      <c r="DL14" s="287"/>
      <c r="DM14" s="284"/>
      <c r="DN14" s="288"/>
      <c r="DO14" s="289"/>
      <c r="DP14" s="290"/>
      <c r="DQ14" s="286">
        <v>9</v>
      </c>
      <c r="DR14" s="287"/>
      <c r="DS14" s="284"/>
      <c r="DT14" s="288"/>
      <c r="DU14" s="289"/>
      <c r="DV14" s="290"/>
      <c r="DW14" s="286">
        <v>9</v>
      </c>
      <c r="DX14" s="287"/>
      <c r="DY14" s="284"/>
      <c r="DZ14" s="288"/>
      <c r="EA14" s="289"/>
      <c r="EB14" s="290"/>
      <c r="EC14" s="286">
        <v>9</v>
      </c>
      <c r="ED14" s="287"/>
      <c r="EE14" s="284"/>
      <c r="EF14" s="288"/>
      <c r="EG14" s="289"/>
      <c r="EH14" s="290"/>
    </row>
    <row r="15" spans="1:138" x14ac:dyDescent="0.25">
      <c r="A15" s="286">
        <v>10</v>
      </c>
      <c r="B15" s="287"/>
      <c r="C15" s="284"/>
      <c r="D15" s="288"/>
      <c r="E15" s="289"/>
      <c r="F15" s="290"/>
      <c r="G15" s="286">
        <v>10</v>
      </c>
      <c r="H15" s="287"/>
      <c r="I15" s="284"/>
      <c r="J15" s="288"/>
      <c r="K15" s="289"/>
      <c r="L15" s="290"/>
      <c r="M15" s="286">
        <v>10</v>
      </c>
      <c r="N15" s="287"/>
      <c r="O15" s="284"/>
      <c r="P15" s="288"/>
      <c r="Q15" s="289"/>
      <c r="R15" s="290"/>
      <c r="S15" s="286">
        <v>10</v>
      </c>
      <c r="T15" s="287"/>
      <c r="U15" s="284"/>
      <c r="V15" s="288"/>
      <c r="W15" s="289"/>
      <c r="X15" s="290"/>
      <c r="Y15" s="286">
        <v>10</v>
      </c>
      <c r="Z15" s="287"/>
      <c r="AA15" s="284"/>
      <c r="AB15" s="288"/>
      <c r="AC15" s="289"/>
      <c r="AD15" s="290"/>
      <c r="AE15" s="286">
        <v>10</v>
      </c>
      <c r="AF15" s="287"/>
      <c r="AG15" s="284"/>
      <c r="AH15" s="288"/>
      <c r="AI15" s="289"/>
      <c r="AJ15" s="290"/>
      <c r="AK15" s="286">
        <v>10</v>
      </c>
      <c r="AL15" s="287"/>
      <c r="AM15" s="284"/>
      <c r="AN15" s="288"/>
      <c r="AO15" s="289"/>
      <c r="AP15" s="290"/>
      <c r="AQ15" s="286">
        <v>10</v>
      </c>
      <c r="AR15" s="287"/>
      <c r="AS15" s="284"/>
      <c r="AT15" s="288"/>
      <c r="AU15" s="289"/>
      <c r="AV15" s="290"/>
      <c r="AW15" s="286">
        <v>10</v>
      </c>
      <c r="AX15" s="287"/>
      <c r="AY15" s="284"/>
      <c r="AZ15" s="288"/>
      <c r="BA15" s="289"/>
      <c r="BB15" s="290"/>
      <c r="BC15" s="286">
        <v>10</v>
      </c>
      <c r="BD15" s="287"/>
      <c r="BE15" s="284"/>
      <c r="BF15" s="288"/>
      <c r="BG15" s="289"/>
      <c r="BH15" s="290"/>
      <c r="BI15" s="286">
        <v>10</v>
      </c>
      <c r="BJ15" s="287"/>
      <c r="BK15" s="284"/>
      <c r="BL15" s="288"/>
      <c r="BM15" s="289"/>
      <c r="BN15" s="290"/>
      <c r="BO15" s="286">
        <v>10</v>
      </c>
      <c r="BP15" s="287"/>
      <c r="BQ15" s="284"/>
      <c r="BR15" s="288"/>
      <c r="BS15" s="289"/>
      <c r="BT15" s="290"/>
      <c r="BU15" s="286">
        <v>10</v>
      </c>
      <c r="BV15" s="287"/>
      <c r="BW15" s="284"/>
      <c r="BX15" s="288"/>
      <c r="BY15" s="289"/>
      <c r="BZ15" s="290"/>
      <c r="CA15" s="286">
        <v>10</v>
      </c>
      <c r="CB15" s="287"/>
      <c r="CC15" s="284"/>
      <c r="CD15" s="288"/>
      <c r="CE15" s="289"/>
      <c r="CF15" s="290"/>
      <c r="CG15" s="286">
        <v>10</v>
      </c>
      <c r="CH15" s="287"/>
      <c r="CI15" s="284"/>
      <c r="CJ15" s="288"/>
      <c r="CK15" s="289"/>
      <c r="CL15" s="290"/>
      <c r="CM15" s="286">
        <v>10</v>
      </c>
      <c r="CN15" s="287"/>
      <c r="CO15" s="284"/>
      <c r="CP15" s="288"/>
      <c r="CQ15" s="289"/>
      <c r="CR15" s="290"/>
      <c r="CS15" s="286">
        <v>10</v>
      </c>
      <c r="CT15" s="287"/>
      <c r="CU15" s="284"/>
      <c r="CV15" s="288"/>
      <c r="CW15" s="289"/>
      <c r="CX15" s="290"/>
      <c r="CY15" s="286">
        <v>10</v>
      </c>
      <c r="CZ15" s="287"/>
      <c r="DA15" s="284"/>
      <c r="DB15" s="288"/>
      <c r="DC15" s="289"/>
      <c r="DD15" s="290"/>
      <c r="DE15" s="286">
        <v>10</v>
      </c>
      <c r="DF15" s="287"/>
      <c r="DG15" s="284"/>
      <c r="DH15" s="288"/>
      <c r="DI15" s="289"/>
      <c r="DJ15" s="290"/>
      <c r="DK15" s="286">
        <v>10</v>
      </c>
      <c r="DL15" s="287"/>
      <c r="DM15" s="284"/>
      <c r="DN15" s="288"/>
      <c r="DO15" s="289"/>
      <c r="DP15" s="290"/>
      <c r="DQ15" s="286">
        <v>10</v>
      </c>
      <c r="DR15" s="287"/>
      <c r="DS15" s="284"/>
      <c r="DT15" s="288"/>
      <c r="DU15" s="289"/>
      <c r="DV15" s="290"/>
      <c r="DW15" s="286">
        <v>10</v>
      </c>
      <c r="DX15" s="287"/>
      <c r="DY15" s="284"/>
      <c r="DZ15" s="288"/>
      <c r="EA15" s="289"/>
      <c r="EB15" s="290"/>
      <c r="EC15" s="286">
        <v>10</v>
      </c>
      <c r="ED15" s="287"/>
      <c r="EE15" s="284"/>
      <c r="EF15" s="288"/>
      <c r="EG15" s="289"/>
      <c r="EH15" s="290"/>
    </row>
    <row r="16" spans="1:138" x14ac:dyDescent="0.25">
      <c r="A16" s="286">
        <v>11</v>
      </c>
      <c r="B16" s="287"/>
      <c r="C16" s="284"/>
      <c r="D16" s="288"/>
      <c r="E16" s="289"/>
      <c r="F16" s="290"/>
      <c r="G16" s="286">
        <v>11</v>
      </c>
      <c r="H16" s="287"/>
      <c r="I16" s="284"/>
      <c r="J16" s="288"/>
      <c r="K16" s="289"/>
      <c r="L16" s="290"/>
      <c r="M16" s="286">
        <v>11</v>
      </c>
      <c r="N16" s="287"/>
      <c r="O16" s="284"/>
      <c r="P16" s="288"/>
      <c r="Q16" s="289"/>
      <c r="R16" s="290"/>
      <c r="S16" s="286">
        <v>11</v>
      </c>
      <c r="T16" s="287"/>
      <c r="U16" s="284"/>
      <c r="V16" s="288"/>
      <c r="W16" s="289"/>
      <c r="X16" s="290"/>
      <c r="Y16" s="286">
        <v>11</v>
      </c>
      <c r="Z16" s="287"/>
      <c r="AA16" s="284"/>
      <c r="AB16" s="288"/>
      <c r="AC16" s="289"/>
      <c r="AD16" s="290"/>
      <c r="AE16" s="286">
        <v>11</v>
      </c>
      <c r="AF16" s="287"/>
      <c r="AG16" s="284"/>
      <c r="AH16" s="288"/>
      <c r="AI16" s="289"/>
      <c r="AJ16" s="290"/>
      <c r="AK16" s="286">
        <v>11</v>
      </c>
      <c r="AL16" s="287"/>
      <c r="AM16" s="284"/>
      <c r="AN16" s="288"/>
      <c r="AO16" s="289"/>
      <c r="AP16" s="290"/>
      <c r="AQ16" s="286">
        <v>11</v>
      </c>
      <c r="AR16" s="287"/>
      <c r="AS16" s="284"/>
      <c r="AT16" s="288"/>
      <c r="AU16" s="289"/>
      <c r="AV16" s="290"/>
      <c r="AW16" s="286">
        <v>11</v>
      </c>
      <c r="AX16" s="287"/>
      <c r="AY16" s="284"/>
      <c r="AZ16" s="288"/>
      <c r="BA16" s="289"/>
      <c r="BB16" s="290"/>
      <c r="BC16" s="286">
        <v>11</v>
      </c>
      <c r="BD16" s="287"/>
      <c r="BE16" s="284"/>
      <c r="BF16" s="288"/>
      <c r="BG16" s="289"/>
      <c r="BH16" s="290"/>
      <c r="BI16" s="286">
        <v>11</v>
      </c>
      <c r="BJ16" s="287"/>
      <c r="BK16" s="284"/>
      <c r="BL16" s="288"/>
      <c r="BM16" s="289"/>
      <c r="BN16" s="290"/>
      <c r="BO16" s="286">
        <v>11</v>
      </c>
      <c r="BP16" s="287"/>
      <c r="BQ16" s="284"/>
      <c r="BR16" s="288"/>
      <c r="BS16" s="289"/>
      <c r="BT16" s="290"/>
      <c r="BU16" s="286">
        <v>11</v>
      </c>
      <c r="BV16" s="287"/>
      <c r="BW16" s="284"/>
      <c r="BX16" s="288"/>
      <c r="BY16" s="289"/>
      <c r="BZ16" s="290"/>
      <c r="CA16" s="286">
        <v>11</v>
      </c>
      <c r="CB16" s="287"/>
      <c r="CC16" s="284"/>
      <c r="CD16" s="288"/>
      <c r="CE16" s="289"/>
      <c r="CF16" s="290"/>
      <c r="CG16" s="286">
        <v>11</v>
      </c>
      <c r="CH16" s="287"/>
      <c r="CI16" s="284"/>
      <c r="CJ16" s="288"/>
      <c r="CK16" s="289"/>
      <c r="CL16" s="290"/>
      <c r="CM16" s="286">
        <v>11</v>
      </c>
      <c r="CN16" s="287"/>
      <c r="CO16" s="284"/>
      <c r="CP16" s="288"/>
      <c r="CQ16" s="289"/>
      <c r="CR16" s="290"/>
      <c r="CS16" s="286">
        <v>11</v>
      </c>
      <c r="CT16" s="287"/>
      <c r="CU16" s="284"/>
      <c r="CV16" s="288"/>
      <c r="CW16" s="289"/>
      <c r="CX16" s="290"/>
      <c r="CY16" s="286">
        <v>11</v>
      </c>
      <c r="CZ16" s="287"/>
      <c r="DA16" s="284"/>
      <c r="DB16" s="288"/>
      <c r="DC16" s="289"/>
      <c r="DD16" s="290"/>
      <c r="DE16" s="286">
        <v>11</v>
      </c>
      <c r="DF16" s="287"/>
      <c r="DG16" s="284"/>
      <c r="DH16" s="288"/>
      <c r="DI16" s="289"/>
      <c r="DJ16" s="290"/>
      <c r="DK16" s="286">
        <v>11</v>
      </c>
      <c r="DL16" s="287"/>
      <c r="DM16" s="284"/>
      <c r="DN16" s="288"/>
      <c r="DO16" s="289"/>
      <c r="DP16" s="290"/>
      <c r="DQ16" s="286">
        <v>11</v>
      </c>
      <c r="DR16" s="287"/>
      <c r="DS16" s="284"/>
      <c r="DT16" s="288"/>
      <c r="DU16" s="289"/>
      <c r="DV16" s="290"/>
      <c r="DW16" s="286">
        <v>11</v>
      </c>
      <c r="DX16" s="287"/>
      <c r="DY16" s="284"/>
      <c r="DZ16" s="288"/>
      <c r="EA16" s="289"/>
      <c r="EB16" s="290"/>
      <c r="EC16" s="286">
        <v>11</v>
      </c>
      <c r="ED16" s="287"/>
      <c r="EE16" s="284"/>
      <c r="EF16" s="288"/>
      <c r="EG16" s="289"/>
      <c r="EH16" s="290"/>
    </row>
    <row r="17" spans="1:138" x14ac:dyDescent="0.25">
      <c r="A17" s="286">
        <v>12</v>
      </c>
      <c r="B17" s="287"/>
      <c r="C17" s="284"/>
      <c r="D17" s="288"/>
      <c r="E17" s="289"/>
      <c r="F17" s="290"/>
      <c r="G17" s="286">
        <v>12</v>
      </c>
      <c r="H17" s="287"/>
      <c r="I17" s="284"/>
      <c r="J17" s="288"/>
      <c r="K17" s="289"/>
      <c r="L17" s="290"/>
      <c r="M17" s="286">
        <v>12</v>
      </c>
      <c r="N17" s="287"/>
      <c r="O17" s="284"/>
      <c r="P17" s="288"/>
      <c r="Q17" s="289"/>
      <c r="R17" s="290"/>
      <c r="S17" s="286">
        <v>12</v>
      </c>
      <c r="T17" s="287"/>
      <c r="U17" s="284"/>
      <c r="V17" s="288"/>
      <c r="W17" s="289"/>
      <c r="X17" s="290"/>
      <c r="Y17" s="286">
        <v>12</v>
      </c>
      <c r="Z17" s="287"/>
      <c r="AA17" s="284"/>
      <c r="AB17" s="288"/>
      <c r="AC17" s="289"/>
      <c r="AD17" s="290"/>
      <c r="AE17" s="286">
        <v>12</v>
      </c>
      <c r="AF17" s="287"/>
      <c r="AG17" s="284"/>
      <c r="AH17" s="288"/>
      <c r="AI17" s="289"/>
      <c r="AJ17" s="290"/>
      <c r="AK17" s="286">
        <v>12</v>
      </c>
      <c r="AL17" s="287"/>
      <c r="AM17" s="284"/>
      <c r="AN17" s="288"/>
      <c r="AO17" s="289"/>
      <c r="AP17" s="290"/>
      <c r="AQ17" s="286">
        <v>12</v>
      </c>
      <c r="AR17" s="287"/>
      <c r="AS17" s="284"/>
      <c r="AT17" s="288"/>
      <c r="AU17" s="289"/>
      <c r="AV17" s="290"/>
      <c r="AW17" s="286">
        <v>12</v>
      </c>
      <c r="AX17" s="287"/>
      <c r="AY17" s="284"/>
      <c r="AZ17" s="288"/>
      <c r="BA17" s="289"/>
      <c r="BB17" s="290"/>
      <c r="BC17" s="286">
        <v>12</v>
      </c>
      <c r="BD17" s="287"/>
      <c r="BE17" s="284"/>
      <c r="BF17" s="288"/>
      <c r="BG17" s="289"/>
      <c r="BH17" s="290"/>
      <c r="BI17" s="286">
        <v>12</v>
      </c>
      <c r="BJ17" s="287"/>
      <c r="BK17" s="284"/>
      <c r="BL17" s="288"/>
      <c r="BM17" s="289"/>
      <c r="BN17" s="290"/>
      <c r="BO17" s="286">
        <v>12</v>
      </c>
      <c r="BP17" s="287"/>
      <c r="BQ17" s="284"/>
      <c r="BR17" s="288"/>
      <c r="BS17" s="289"/>
      <c r="BT17" s="290"/>
      <c r="BU17" s="286">
        <v>12</v>
      </c>
      <c r="BV17" s="287"/>
      <c r="BW17" s="284"/>
      <c r="BX17" s="288"/>
      <c r="BY17" s="289"/>
      <c r="BZ17" s="290"/>
      <c r="CA17" s="286">
        <v>12</v>
      </c>
      <c r="CB17" s="287"/>
      <c r="CC17" s="284"/>
      <c r="CD17" s="288"/>
      <c r="CE17" s="289"/>
      <c r="CF17" s="290"/>
      <c r="CG17" s="286">
        <v>12</v>
      </c>
      <c r="CH17" s="287"/>
      <c r="CI17" s="284"/>
      <c r="CJ17" s="288"/>
      <c r="CK17" s="289"/>
      <c r="CL17" s="290"/>
      <c r="CM17" s="286">
        <v>12</v>
      </c>
      <c r="CN17" s="287"/>
      <c r="CO17" s="284"/>
      <c r="CP17" s="288"/>
      <c r="CQ17" s="289"/>
      <c r="CR17" s="290"/>
      <c r="CS17" s="286">
        <v>12</v>
      </c>
      <c r="CT17" s="287"/>
      <c r="CU17" s="284"/>
      <c r="CV17" s="288"/>
      <c r="CW17" s="289"/>
      <c r="CX17" s="290"/>
      <c r="CY17" s="286">
        <v>12</v>
      </c>
      <c r="CZ17" s="287"/>
      <c r="DA17" s="284"/>
      <c r="DB17" s="288"/>
      <c r="DC17" s="289"/>
      <c r="DD17" s="290"/>
      <c r="DE17" s="286">
        <v>12</v>
      </c>
      <c r="DF17" s="287"/>
      <c r="DG17" s="284"/>
      <c r="DH17" s="288"/>
      <c r="DI17" s="289"/>
      <c r="DJ17" s="290"/>
      <c r="DK17" s="286">
        <v>12</v>
      </c>
      <c r="DL17" s="287"/>
      <c r="DM17" s="284"/>
      <c r="DN17" s="288"/>
      <c r="DO17" s="289"/>
      <c r="DP17" s="290"/>
      <c r="DQ17" s="286">
        <v>12</v>
      </c>
      <c r="DR17" s="287"/>
      <c r="DS17" s="284"/>
      <c r="DT17" s="288"/>
      <c r="DU17" s="289"/>
      <c r="DV17" s="290"/>
      <c r="DW17" s="286">
        <v>12</v>
      </c>
      <c r="DX17" s="287"/>
      <c r="DY17" s="284"/>
      <c r="DZ17" s="288"/>
      <c r="EA17" s="289"/>
      <c r="EB17" s="290"/>
      <c r="EC17" s="286">
        <v>12</v>
      </c>
      <c r="ED17" s="287"/>
      <c r="EE17" s="284"/>
      <c r="EF17" s="288"/>
      <c r="EG17" s="289"/>
      <c r="EH17" s="290"/>
    </row>
    <row r="18" spans="1:138" x14ac:dyDescent="0.25">
      <c r="A18" s="286">
        <v>13</v>
      </c>
      <c r="B18" s="287"/>
      <c r="C18" s="284"/>
      <c r="D18" s="288"/>
      <c r="E18" s="289"/>
      <c r="F18" s="290"/>
      <c r="G18" s="286">
        <v>13</v>
      </c>
      <c r="H18" s="287"/>
      <c r="I18" s="284"/>
      <c r="J18" s="288"/>
      <c r="K18" s="289"/>
      <c r="L18" s="290"/>
      <c r="M18" s="286">
        <v>13</v>
      </c>
      <c r="N18" s="287"/>
      <c r="O18" s="284"/>
      <c r="P18" s="288"/>
      <c r="Q18" s="289"/>
      <c r="R18" s="290"/>
      <c r="S18" s="286">
        <v>13</v>
      </c>
      <c r="T18" s="287"/>
      <c r="U18" s="284"/>
      <c r="V18" s="288"/>
      <c r="W18" s="289"/>
      <c r="X18" s="290"/>
      <c r="Y18" s="286">
        <v>13</v>
      </c>
      <c r="Z18" s="287"/>
      <c r="AA18" s="284"/>
      <c r="AB18" s="288"/>
      <c r="AC18" s="289"/>
      <c r="AD18" s="290"/>
      <c r="AE18" s="286">
        <v>13</v>
      </c>
      <c r="AF18" s="287"/>
      <c r="AG18" s="284"/>
      <c r="AH18" s="288"/>
      <c r="AI18" s="289"/>
      <c r="AJ18" s="290"/>
      <c r="AK18" s="286">
        <v>13</v>
      </c>
      <c r="AL18" s="287"/>
      <c r="AM18" s="284"/>
      <c r="AN18" s="288"/>
      <c r="AO18" s="289"/>
      <c r="AP18" s="290"/>
      <c r="AQ18" s="286">
        <v>13</v>
      </c>
      <c r="AR18" s="287"/>
      <c r="AS18" s="284"/>
      <c r="AT18" s="288"/>
      <c r="AU18" s="289"/>
      <c r="AV18" s="290"/>
      <c r="AW18" s="286">
        <v>13</v>
      </c>
      <c r="AX18" s="287"/>
      <c r="AY18" s="284"/>
      <c r="AZ18" s="288"/>
      <c r="BA18" s="289"/>
      <c r="BB18" s="290"/>
      <c r="BC18" s="286">
        <v>13</v>
      </c>
      <c r="BD18" s="287"/>
      <c r="BE18" s="284"/>
      <c r="BF18" s="288"/>
      <c r="BG18" s="289"/>
      <c r="BH18" s="290"/>
      <c r="BI18" s="286">
        <v>13</v>
      </c>
      <c r="BJ18" s="287"/>
      <c r="BK18" s="284"/>
      <c r="BL18" s="288"/>
      <c r="BM18" s="289"/>
      <c r="BN18" s="290"/>
      <c r="BO18" s="286">
        <v>13</v>
      </c>
      <c r="BP18" s="287"/>
      <c r="BQ18" s="284"/>
      <c r="BR18" s="288"/>
      <c r="BS18" s="289"/>
      <c r="BT18" s="290"/>
      <c r="BU18" s="286">
        <v>13</v>
      </c>
      <c r="BV18" s="287"/>
      <c r="BW18" s="284"/>
      <c r="BX18" s="288"/>
      <c r="BY18" s="289"/>
      <c r="BZ18" s="290"/>
      <c r="CA18" s="286">
        <v>13</v>
      </c>
      <c r="CB18" s="287"/>
      <c r="CC18" s="284"/>
      <c r="CD18" s="288"/>
      <c r="CE18" s="289"/>
      <c r="CF18" s="290"/>
      <c r="CG18" s="286">
        <v>13</v>
      </c>
      <c r="CH18" s="287"/>
      <c r="CI18" s="284"/>
      <c r="CJ18" s="288"/>
      <c r="CK18" s="289"/>
      <c r="CL18" s="290"/>
      <c r="CM18" s="286">
        <v>13</v>
      </c>
      <c r="CN18" s="287"/>
      <c r="CO18" s="284"/>
      <c r="CP18" s="288"/>
      <c r="CQ18" s="289"/>
      <c r="CR18" s="290"/>
      <c r="CS18" s="286">
        <v>13</v>
      </c>
      <c r="CT18" s="287"/>
      <c r="CU18" s="284"/>
      <c r="CV18" s="288"/>
      <c r="CW18" s="289"/>
      <c r="CX18" s="290"/>
      <c r="CY18" s="286">
        <v>13</v>
      </c>
      <c r="CZ18" s="287"/>
      <c r="DA18" s="284"/>
      <c r="DB18" s="288"/>
      <c r="DC18" s="289"/>
      <c r="DD18" s="290"/>
      <c r="DE18" s="286">
        <v>13</v>
      </c>
      <c r="DF18" s="287"/>
      <c r="DG18" s="284"/>
      <c r="DH18" s="288"/>
      <c r="DI18" s="289"/>
      <c r="DJ18" s="290"/>
      <c r="DK18" s="286">
        <v>13</v>
      </c>
      <c r="DL18" s="287"/>
      <c r="DM18" s="284"/>
      <c r="DN18" s="288"/>
      <c r="DO18" s="289"/>
      <c r="DP18" s="290"/>
      <c r="DQ18" s="286">
        <v>13</v>
      </c>
      <c r="DR18" s="287"/>
      <c r="DS18" s="284"/>
      <c r="DT18" s="288"/>
      <c r="DU18" s="289"/>
      <c r="DV18" s="290"/>
      <c r="DW18" s="286">
        <v>13</v>
      </c>
      <c r="DX18" s="287"/>
      <c r="DY18" s="284"/>
      <c r="DZ18" s="288"/>
      <c r="EA18" s="289"/>
      <c r="EB18" s="290"/>
      <c r="EC18" s="286">
        <v>13</v>
      </c>
      <c r="ED18" s="287"/>
      <c r="EE18" s="284"/>
      <c r="EF18" s="288"/>
      <c r="EG18" s="289"/>
      <c r="EH18" s="290"/>
    </row>
    <row r="19" spans="1:138" x14ac:dyDescent="0.25">
      <c r="A19" s="286">
        <v>14</v>
      </c>
      <c r="B19" s="287"/>
      <c r="C19" s="284"/>
      <c r="D19" s="288"/>
      <c r="E19" s="289"/>
      <c r="F19" s="290"/>
      <c r="G19" s="286">
        <v>14</v>
      </c>
      <c r="H19" s="287"/>
      <c r="I19" s="284"/>
      <c r="J19" s="288"/>
      <c r="K19" s="289"/>
      <c r="L19" s="290"/>
      <c r="M19" s="286">
        <v>14</v>
      </c>
      <c r="N19" s="287"/>
      <c r="O19" s="284"/>
      <c r="P19" s="288"/>
      <c r="Q19" s="289"/>
      <c r="R19" s="290"/>
      <c r="S19" s="286">
        <v>14</v>
      </c>
      <c r="T19" s="287"/>
      <c r="U19" s="284"/>
      <c r="V19" s="288"/>
      <c r="W19" s="289"/>
      <c r="X19" s="290"/>
      <c r="Y19" s="286">
        <v>14</v>
      </c>
      <c r="Z19" s="287"/>
      <c r="AA19" s="284"/>
      <c r="AB19" s="288"/>
      <c r="AC19" s="289"/>
      <c r="AD19" s="290"/>
      <c r="AE19" s="286">
        <v>14</v>
      </c>
      <c r="AF19" s="287"/>
      <c r="AG19" s="284"/>
      <c r="AH19" s="288"/>
      <c r="AI19" s="289"/>
      <c r="AJ19" s="290"/>
      <c r="AK19" s="286">
        <v>14</v>
      </c>
      <c r="AL19" s="287"/>
      <c r="AM19" s="284"/>
      <c r="AN19" s="288"/>
      <c r="AO19" s="289"/>
      <c r="AP19" s="290"/>
      <c r="AQ19" s="286">
        <v>14</v>
      </c>
      <c r="AR19" s="287"/>
      <c r="AS19" s="284"/>
      <c r="AT19" s="288"/>
      <c r="AU19" s="289"/>
      <c r="AV19" s="290"/>
      <c r="AW19" s="286">
        <v>14</v>
      </c>
      <c r="AX19" s="287"/>
      <c r="AY19" s="284"/>
      <c r="AZ19" s="288"/>
      <c r="BA19" s="289"/>
      <c r="BB19" s="290"/>
      <c r="BC19" s="286">
        <v>14</v>
      </c>
      <c r="BD19" s="287"/>
      <c r="BE19" s="284"/>
      <c r="BF19" s="288"/>
      <c r="BG19" s="289"/>
      <c r="BH19" s="290"/>
      <c r="BI19" s="286">
        <v>14</v>
      </c>
      <c r="BJ19" s="287"/>
      <c r="BK19" s="284"/>
      <c r="BL19" s="288"/>
      <c r="BM19" s="289"/>
      <c r="BN19" s="290"/>
      <c r="BO19" s="286">
        <v>14</v>
      </c>
      <c r="BP19" s="287"/>
      <c r="BQ19" s="284"/>
      <c r="BR19" s="288"/>
      <c r="BS19" s="289"/>
      <c r="BT19" s="290"/>
      <c r="BU19" s="286">
        <v>14</v>
      </c>
      <c r="BV19" s="287"/>
      <c r="BW19" s="284"/>
      <c r="BX19" s="288"/>
      <c r="BY19" s="289"/>
      <c r="BZ19" s="290"/>
      <c r="CA19" s="286">
        <v>14</v>
      </c>
      <c r="CB19" s="287"/>
      <c r="CC19" s="284"/>
      <c r="CD19" s="288"/>
      <c r="CE19" s="289"/>
      <c r="CF19" s="290"/>
      <c r="CG19" s="286">
        <v>14</v>
      </c>
      <c r="CH19" s="287"/>
      <c r="CI19" s="284"/>
      <c r="CJ19" s="288"/>
      <c r="CK19" s="289"/>
      <c r="CL19" s="290"/>
      <c r="CM19" s="286">
        <v>14</v>
      </c>
      <c r="CN19" s="287"/>
      <c r="CO19" s="284"/>
      <c r="CP19" s="288"/>
      <c r="CQ19" s="289"/>
      <c r="CR19" s="290"/>
      <c r="CS19" s="286">
        <v>14</v>
      </c>
      <c r="CT19" s="287"/>
      <c r="CU19" s="284"/>
      <c r="CV19" s="288"/>
      <c r="CW19" s="289"/>
      <c r="CX19" s="290"/>
      <c r="CY19" s="286">
        <v>14</v>
      </c>
      <c r="CZ19" s="287"/>
      <c r="DA19" s="284"/>
      <c r="DB19" s="288"/>
      <c r="DC19" s="289"/>
      <c r="DD19" s="290"/>
      <c r="DE19" s="286">
        <v>14</v>
      </c>
      <c r="DF19" s="287"/>
      <c r="DG19" s="284"/>
      <c r="DH19" s="288"/>
      <c r="DI19" s="289"/>
      <c r="DJ19" s="290"/>
      <c r="DK19" s="286">
        <v>14</v>
      </c>
      <c r="DL19" s="287"/>
      <c r="DM19" s="284"/>
      <c r="DN19" s="288"/>
      <c r="DO19" s="289"/>
      <c r="DP19" s="290"/>
      <c r="DQ19" s="286">
        <v>14</v>
      </c>
      <c r="DR19" s="287"/>
      <c r="DS19" s="284"/>
      <c r="DT19" s="288"/>
      <c r="DU19" s="289"/>
      <c r="DV19" s="290"/>
      <c r="DW19" s="286">
        <v>14</v>
      </c>
      <c r="DX19" s="287"/>
      <c r="DY19" s="284"/>
      <c r="DZ19" s="288"/>
      <c r="EA19" s="289"/>
      <c r="EB19" s="290"/>
      <c r="EC19" s="286">
        <v>14</v>
      </c>
      <c r="ED19" s="287"/>
      <c r="EE19" s="284"/>
      <c r="EF19" s="288"/>
      <c r="EG19" s="289"/>
      <c r="EH19" s="290"/>
    </row>
    <row r="20" spans="1:138" x14ac:dyDescent="0.25">
      <c r="A20" s="286">
        <v>15</v>
      </c>
      <c r="B20" s="287"/>
      <c r="C20" s="284"/>
      <c r="D20" s="288"/>
      <c r="E20" s="289"/>
      <c r="F20" s="290"/>
      <c r="G20" s="286">
        <v>15</v>
      </c>
      <c r="H20" s="287"/>
      <c r="I20" s="284"/>
      <c r="J20" s="288"/>
      <c r="K20" s="289"/>
      <c r="L20" s="290"/>
      <c r="M20" s="286">
        <v>15</v>
      </c>
      <c r="N20" s="287"/>
      <c r="O20" s="284"/>
      <c r="P20" s="288"/>
      <c r="Q20" s="289"/>
      <c r="R20" s="290"/>
      <c r="S20" s="286">
        <v>15</v>
      </c>
      <c r="T20" s="287"/>
      <c r="U20" s="284"/>
      <c r="V20" s="288"/>
      <c r="W20" s="289"/>
      <c r="X20" s="290"/>
      <c r="Y20" s="286">
        <v>15</v>
      </c>
      <c r="Z20" s="287"/>
      <c r="AA20" s="284"/>
      <c r="AB20" s="288"/>
      <c r="AC20" s="289"/>
      <c r="AD20" s="290"/>
      <c r="AE20" s="286">
        <v>15</v>
      </c>
      <c r="AF20" s="287"/>
      <c r="AG20" s="284"/>
      <c r="AH20" s="288"/>
      <c r="AI20" s="289"/>
      <c r="AJ20" s="290"/>
      <c r="AK20" s="286">
        <v>15</v>
      </c>
      <c r="AL20" s="287"/>
      <c r="AM20" s="284"/>
      <c r="AN20" s="288"/>
      <c r="AO20" s="289"/>
      <c r="AP20" s="290"/>
      <c r="AQ20" s="286">
        <v>15</v>
      </c>
      <c r="AR20" s="287"/>
      <c r="AS20" s="284"/>
      <c r="AT20" s="288"/>
      <c r="AU20" s="289"/>
      <c r="AV20" s="290"/>
      <c r="AW20" s="286">
        <v>15</v>
      </c>
      <c r="AX20" s="287"/>
      <c r="AY20" s="284"/>
      <c r="AZ20" s="288"/>
      <c r="BA20" s="289"/>
      <c r="BB20" s="290"/>
      <c r="BC20" s="286">
        <v>15</v>
      </c>
      <c r="BD20" s="287"/>
      <c r="BE20" s="284"/>
      <c r="BF20" s="288"/>
      <c r="BG20" s="289"/>
      <c r="BH20" s="290"/>
      <c r="BI20" s="286">
        <v>15</v>
      </c>
      <c r="BJ20" s="287"/>
      <c r="BK20" s="284"/>
      <c r="BL20" s="288"/>
      <c r="BM20" s="289"/>
      <c r="BN20" s="290"/>
      <c r="BO20" s="286">
        <v>15</v>
      </c>
      <c r="BP20" s="287"/>
      <c r="BQ20" s="284"/>
      <c r="BR20" s="288"/>
      <c r="BS20" s="289"/>
      <c r="BT20" s="290"/>
      <c r="BU20" s="286">
        <v>15</v>
      </c>
      <c r="BV20" s="287"/>
      <c r="BW20" s="284"/>
      <c r="BX20" s="288"/>
      <c r="BY20" s="289"/>
      <c r="BZ20" s="290"/>
      <c r="CA20" s="286">
        <v>15</v>
      </c>
      <c r="CB20" s="287"/>
      <c r="CC20" s="284"/>
      <c r="CD20" s="288"/>
      <c r="CE20" s="289"/>
      <c r="CF20" s="290"/>
      <c r="CG20" s="286">
        <v>15</v>
      </c>
      <c r="CH20" s="287"/>
      <c r="CI20" s="284"/>
      <c r="CJ20" s="288"/>
      <c r="CK20" s="289"/>
      <c r="CL20" s="290"/>
      <c r="CM20" s="286">
        <v>15</v>
      </c>
      <c r="CN20" s="287"/>
      <c r="CO20" s="284"/>
      <c r="CP20" s="288"/>
      <c r="CQ20" s="289"/>
      <c r="CR20" s="290"/>
      <c r="CS20" s="286">
        <v>15</v>
      </c>
      <c r="CT20" s="287"/>
      <c r="CU20" s="284"/>
      <c r="CV20" s="288"/>
      <c r="CW20" s="289"/>
      <c r="CX20" s="290"/>
      <c r="CY20" s="286">
        <v>15</v>
      </c>
      <c r="CZ20" s="287"/>
      <c r="DA20" s="284"/>
      <c r="DB20" s="288"/>
      <c r="DC20" s="289"/>
      <c r="DD20" s="290"/>
      <c r="DE20" s="286">
        <v>15</v>
      </c>
      <c r="DF20" s="287"/>
      <c r="DG20" s="284"/>
      <c r="DH20" s="288"/>
      <c r="DI20" s="289"/>
      <c r="DJ20" s="290"/>
      <c r="DK20" s="286">
        <v>15</v>
      </c>
      <c r="DL20" s="287"/>
      <c r="DM20" s="284"/>
      <c r="DN20" s="288"/>
      <c r="DO20" s="289"/>
      <c r="DP20" s="290"/>
      <c r="DQ20" s="286">
        <v>15</v>
      </c>
      <c r="DR20" s="287"/>
      <c r="DS20" s="284"/>
      <c r="DT20" s="288"/>
      <c r="DU20" s="289"/>
      <c r="DV20" s="290"/>
      <c r="DW20" s="286">
        <v>15</v>
      </c>
      <c r="DX20" s="287"/>
      <c r="DY20" s="284"/>
      <c r="DZ20" s="288"/>
      <c r="EA20" s="289"/>
      <c r="EB20" s="290"/>
      <c r="EC20" s="286">
        <v>15</v>
      </c>
      <c r="ED20" s="287"/>
      <c r="EE20" s="284"/>
      <c r="EF20" s="288"/>
      <c r="EG20" s="289"/>
      <c r="EH20" s="290"/>
    </row>
    <row r="21" spans="1:138" x14ac:dyDescent="0.25">
      <c r="A21" s="286">
        <v>16</v>
      </c>
      <c r="B21" s="287"/>
      <c r="C21" s="284"/>
      <c r="D21" s="288"/>
      <c r="E21" s="289"/>
      <c r="F21" s="290"/>
      <c r="G21" s="286">
        <v>16</v>
      </c>
      <c r="H21" s="287"/>
      <c r="I21" s="284"/>
      <c r="J21" s="288"/>
      <c r="K21" s="289"/>
      <c r="L21" s="290"/>
      <c r="M21" s="286">
        <v>16</v>
      </c>
      <c r="N21" s="287"/>
      <c r="O21" s="284"/>
      <c r="P21" s="288"/>
      <c r="Q21" s="289"/>
      <c r="R21" s="290"/>
      <c r="S21" s="286">
        <v>16</v>
      </c>
      <c r="T21" s="287"/>
      <c r="U21" s="284"/>
      <c r="V21" s="288"/>
      <c r="W21" s="289"/>
      <c r="X21" s="290"/>
      <c r="Y21" s="286">
        <v>16</v>
      </c>
      <c r="Z21" s="287"/>
      <c r="AA21" s="284"/>
      <c r="AB21" s="288"/>
      <c r="AC21" s="289"/>
      <c r="AD21" s="290"/>
      <c r="AE21" s="286">
        <v>16</v>
      </c>
      <c r="AF21" s="287"/>
      <c r="AG21" s="284"/>
      <c r="AH21" s="288"/>
      <c r="AI21" s="289"/>
      <c r="AJ21" s="290"/>
      <c r="AK21" s="286">
        <v>16</v>
      </c>
      <c r="AL21" s="287"/>
      <c r="AM21" s="284"/>
      <c r="AN21" s="288"/>
      <c r="AO21" s="289"/>
      <c r="AP21" s="290"/>
      <c r="AQ21" s="286">
        <v>16</v>
      </c>
      <c r="AR21" s="287"/>
      <c r="AS21" s="284"/>
      <c r="AT21" s="288"/>
      <c r="AU21" s="289"/>
      <c r="AV21" s="290"/>
      <c r="AW21" s="286">
        <v>16</v>
      </c>
      <c r="AX21" s="287"/>
      <c r="AY21" s="284"/>
      <c r="AZ21" s="288"/>
      <c r="BA21" s="289"/>
      <c r="BB21" s="290"/>
      <c r="BC21" s="286">
        <v>16</v>
      </c>
      <c r="BD21" s="287"/>
      <c r="BE21" s="284"/>
      <c r="BF21" s="288"/>
      <c r="BG21" s="289"/>
      <c r="BH21" s="290"/>
      <c r="BI21" s="286">
        <v>16</v>
      </c>
      <c r="BJ21" s="287"/>
      <c r="BK21" s="284"/>
      <c r="BL21" s="288"/>
      <c r="BM21" s="289"/>
      <c r="BN21" s="290"/>
      <c r="BO21" s="286">
        <v>16</v>
      </c>
      <c r="BP21" s="287"/>
      <c r="BQ21" s="284"/>
      <c r="BR21" s="288"/>
      <c r="BS21" s="289"/>
      <c r="BT21" s="290"/>
      <c r="BU21" s="286">
        <v>16</v>
      </c>
      <c r="BV21" s="287"/>
      <c r="BW21" s="284"/>
      <c r="BX21" s="288"/>
      <c r="BY21" s="289"/>
      <c r="BZ21" s="290"/>
      <c r="CA21" s="286">
        <v>16</v>
      </c>
      <c r="CB21" s="287"/>
      <c r="CC21" s="284"/>
      <c r="CD21" s="288"/>
      <c r="CE21" s="289"/>
      <c r="CF21" s="290"/>
      <c r="CG21" s="286">
        <v>16</v>
      </c>
      <c r="CH21" s="287"/>
      <c r="CI21" s="284"/>
      <c r="CJ21" s="288"/>
      <c r="CK21" s="289"/>
      <c r="CL21" s="290"/>
      <c r="CM21" s="286">
        <v>16</v>
      </c>
      <c r="CN21" s="287"/>
      <c r="CO21" s="284"/>
      <c r="CP21" s="288"/>
      <c r="CQ21" s="289"/>
      <c r="CR21" s="290"/>
      <c r="CS21" s="286">
        <v>16</v>
      </c>
      <c r="CT21" s="287"/>
      <c r="CU21" s="284"/>
      <c r="CV21" s="288"/>
      <c r="CW21" s="289"/>
      <c r="CX21" s="290"/>
      <c r="CY21" s="286">
        <v>16</v>
      </c>
      <c r="CZ21" s="287"/>
      <c r="DA21" s="284"/>
      <c r="DB21" s="288"/>
      <c r="DC21" s="289"/>
      <c r="DD21" s="290"/>
      <c r="DE21" s="286">
        <v>16</v>
      </c>
      <c r="DF21" s="287"/>
      <c r="DG21" s="284"/>
      <c r="DH21" s="288"/>
      <c r="DI21" s="289"/>
      <c r="DJ21" s="290"/>
      <c r="DK21" s="286">
        <v>16</v>
      </c>
      <c r="DL21" s="287"/>
      <c r="DM21" s="284"/>
      <c r="DN21" s="288"/>
      <c r="DO21" s="289"/>
      <c r="DP21" s="290"/>
      <c r="DQ21" s="286">
        <v>16</v>
      </c>
      <c r="DR21" s="287"/>
      <c r="DS21" s="284"/>
      <c r="DT21" s="288"/>
      <c r="DU21" s="289"/>
      <c r="DV21" s="290"/>
      <c r="DW21" s="286">
        <v>16</v>
      </c>
      <c r="DX21" s="287"/>
      <c r="DY21" s="284"/>
      <c r="DZ21" s="288"/>
      <c r="EA21" s="289"/>
      <c r="EB21" s="290"/>
      <c r="EC21" s="286">
        <v>16</v>
      </c>
      <c r="ED21" s="287"/>
      <c r="EE21" s="284"/>
      <c r="EF21" s="288"/>
      <c r="EG21" s="289"/>
      <c r="EH21" s="290"/>
    </row>
    <row r="22" spans="1:138" x14ac:dyDescent="0.25">
      <c r="A22" s="286">
        <v>17</v>
      </c>
      <c r="B22" s="287"/>
      <c r="C22" s="284"/>
      <c r="D22" s="288"/>
      <c r="E22" s="289"/>
      <c r="F22" s="290"/>
      <c r="G22" s="286">
        <v>17</v>
      </c>
      <c r="H22" s="287"/>
      <c r="I22" s="284"/>
      <c r="J22" s="288"/>
      <c r="K22" s="289"/>
      <c r="L22" s="290"/>
      <c r="M22" s="286">
        <v>17</v>
      </c>
      <c r="N22" s="287"/>
      <c r="O22" s="284"/>
      <c r="P22" s="288"/>
      <c r="Q22" s="289"/>
      <c r="R22" s="290"/>
      <c r="S22" s="286">
        <v>17</v>
      </c>
      <c r="T22" s="287"/>
      <c r="U22" s="284"/>
      <c r="V22" s="288"/>
      <c r="W22" s="289"/>
      <c r="X22" s="290"/>
      <c r="Y22" s="286">
        <v>17</v>
      </c>
      <c r="Z22" s="287"/>
      <c r="AA22" s="284"/>
      <c r="AB22" s="288"/>
      <c r="AC22" s="289"/>
      <c r="AD22" s="290"/>
      <c r="AE22" s="286">
        <v>17</v>
      </c>
      <c r="AF22" s="287"/>
      <c r="AG22" s="284"/>
      <c r="AH22" s="288"/>
      <c r="AI22" s="289"/>
      <c r="AJ22" s="290"/>
      <c r="AK22" s="286">
        <v>17</v>
      </c>
      <c r="AL22" s="287"/>
      <c r="AM22" s="284"/>
      <c r="AN22" s="288"/>
      <c r="AO22" s="289"/>
      <c r="AP22" s="290"/>
      <c r="AQ22" s="286">
        <v>17</v>
      </c>
      <c r="AR22" s="287"/>
      <c r="AS22" s="284"/>
      <c r="AT22" s="288"/>
      <c r="AU22" s="289"/>
      <c r="AV22" s="290"/>
      <c r="AW22" s="286">
        <v>17</v>
      </c>
      <c r="AX22" s="287"/>
      <c r="AY22" s="284"/>
      <c r="AZ22" s="288"/>
      <c r="BA22" s="289"/>
      <c r="BB22" s="290"/>
      <c r="BC22" s="286">
        <v>17</v>
      </c>
      <c r="BD22" s="287"/>
      <c r="BE22" s="284"/>
      <c r="BF22" s="288"/>
      <c r="BG22" s="289"/>
      <c r="BH22" s="290"/>
      <c r="BI22" s="286">
        <v>17</v>
      </c>
      <c r="BJ22" s="287"/>
      <c r="BK22" s="284"/>
      <c r="BL22" s="288"/>
      <c r="BM22" s="289"/>
      <c r="BN22" s="290"/>
      <c r="BO22" s="286">
        <v>17</v>
      </c>
      <c r="BP22" s="287"/>
      <c r="BQ22" s="284"/>
      <c r="BR22" s="288"/>
      <c r="BS22" s="289"/>
      <c r="BT22" s="290"/>
      <c r="BU22" s="286">
        <v>17</v>
      </c>
      <c r="BV22" s="287"/>
      <c r="BW22" s="284"/>
      <c r="BX22" s="288"/>
      <c r="BY22" s="289"/>
      <c r="BZ22" s="290"/>
      <c r="CA22" s="286">
        <v>17</v>
      </c>
      <c r="CB22" s="287"/>
      <c r="CC22" s="284"/>
      <c r="CD22" s="288"/>
      <c r="CE22" s="289"/>
      <c r="CF22" s="290"/>
      <c r="CG22" s="286">
        <v>17</v>
      </c>
      <c r="CH22" s="287"/>
      <c r="CI22" s="284"/>
      <c r="CJ22" s="288"/>
      <c r="CK22" s="289"/>
      <c r="CL22" s="290"/>
      <c r="CM22" s="286">
        <v>17</v>
      </c>
      <c r="CN22" s="287"/>
      <c r="CO22" s="284"/>
      <c r="CP22" s="288"/>
      <c r="CQ22" s="289"/>
      <c r="CR22" s="290"/>
      <c r="CS22" s="286">
        <v>17</v>
      </c>
      <c r="CT22" s="287"/>
      <c r="CU22" s="284"/>
      <c r="CV22" s="288"/>
      <c r="CW22" s="289"/>
      <c r="CX22" s="290"/>
      <c r="CY22" s="286">
        <v>17</v>
      </c>
      <c r="CZ22" s="287"/>
      <c r="DA22" s="284"/>
      <c r="DB22" s="288"/>
      <c r="DC22" s="289"/>
      <c r="DD22" s="290"/>
      <c r="DE22" s="286">
        <v>17</v>
      </c>
      <c r="DF22" s="287"/>
      <c r="DG22" s="284"/>
      <c r="DH22" s="288"/>
      <c r="DI22" s="289"/>
      <c r="DJ22" s="290"/>
      <c r="DK22" s="286">
        <v>17</v>
      </c>
      <c r="DL22" s="287"/>
      <c r="DM22" s="284"/>
      <c r="DN22" s="288"/>
      <c r="DO22" s="289"/>
      <c r="DP22" s="290"/>
      <c r="DQ22" s="286">
        <v>17</v>
      </c>
      <c r="DR22" s="287"/>
      <c r="DS22" s="284"/>
      <c r="DT22" s="288"/>
      <c r="DU22" s="289"/>
      <c r="DV22" s="290"/>
      <c r="DW22" s="286">
        <v>17</v>
      </c>
      <c r="DX22" s="287"/>
      <c r="DY22" s="284"/>
      <c r="DZ22" s="288"/>
      <c r="EA22" s="289"/>
      <c r="EB22" s="290"/>
      <c r="EC22" s="286">
        <v>17</v>
      </c>
      <c r="ED22" s="287"/>
      <c r="EE22" s="284"/>
      <c r="EF22" s="288"/>
      <c r="EG22" s="289"/>
      <c r="EH22" s="290"/>
    </row>
    <row r="23" spans="1:138" x14ac:dyDescent="0.25">
      <c r="A23" s="286">
        <v>18</v>
      </c>
      <c r="B23" s="287"/>
      <c r="C23" s="284"/>
      <c r="D23" s="288"/>
      <c r="E23" s="289"/>
      <c r="F23" s="290"/>
      <c r="G23" s="286">
        <v>18</v>
      </c>
      <c r="H23" s="287"/>
      <c r="I23" s="284"/>
      <c r="J23" s="288"/>
      <c r="K23" s="289"/>
      <c r="L23" s="290"/>
      <c r="M23" s="286">
        <v>18</v>
      </c>
      <c r="N23" s="287"/>
      <c r="O23" s="284"/>
      <c r="P23" s="288"/>
      <c r="Q23" s="289"/>
      <c r="R23" s="290"/>
      <c r="S23" s="286">
        <v>18</v>
      </c>
      <c r="T23" s="287"/>
      <c r="U23" s="284"/>
      <c r="V23" s="288"/>
      <c r="W23" s="289"/>
      <c r="X23" s="290"/>
      <c r="Y23" s="286">
        <v>18</v>
      </c>
      <c r="Z23" s="287"/>
      <c r="AA23" s="284"/>
      <c r="AB23" s="288"/>
      <c r="AC23" s="289"/>
      <c r="AD23" s="290"/>
      <c r="AE23" s="286">
        <v>18</v>
      </c>
      <c r="AF23" s="287"/>
      <c r="AG23" s="284"/>
      <c r="AH23" s="288"/>
      <c r="AI23" s="289"/>
      <c r="AJ23" s="290"/>
      <c r="AK23" s="286">
        <v>18</v>
      </c>
      <c r="AL23" s="287"/>
      <c r="AM23" s="284"/>
      <c r="AN23" s="288"/>
      <c r="AO23" s="289"/>
      <c r="AP23" s="290"/>
      <c r="AQ23" s="286">
        <v>18</v>
      </c>
      <c r="AR23" s="287"/>
      <c r="AS23" s="284"/>
      <c r="AT23" s="288"/>
      <c r="AU23" s="289"/>
      <c r="AV23" s="290"/>
      <c r="AW23" s="286">
        <v>18</v>
      </c>
      <c r="AX23" s="287"/>
      <c r="AY23" s="284"/>
      <c r="AZ23" s="288"/>
      <c r="BA23" s="289"/>
      <c r="BB23" s="290"/>
      <c r="BC23" s="286">
        <v>18</v>
      </c>
      <c r="BD23" s="287"/>
      <c r="BE23" s="284"/>
      <c r="BF23" s="288"/>
      <c r="BG23" s="289"/>
      <c r="BH23" s="290"/>
      <c r="BI23" s="286">
        <v>18</v>
      </c>
      <c r="BJ23" s="287"/>
      <c r="BK23" s="284"/>
      <c r="BL23" s="288"/>
      <c r="BM23" s="289"/>
      <c r="BN23" s="290"/>
      <c r="BO23" s="286">
        <v>18</v>
      </c>
      <c r="BP23" s="287"/>
      <c r="BQ23" s="284"/>
      <c r="BR23" s="288"/>
      <c r="BS23" s="289"/>
      <c r="BT23" s="290"/>
      <c r="BU23" s="286">
        <v>18</v>
      </c>
      <c r="BV23" s="287"/>
      <c r="BW23" s="284"/>
      <c r="BX23" s="288"/>
      <c r="BY23" s="289"/>
      <c r="BZ23" s="290"/>
      <c r="CA23" s="286">
        <v>18</v>
      </c>
      <c r="CB23" s="287"/>
      <c r="CC23" s="284"/>
      <c r="CD23" s="288"/>
      <c r="CE23" s="289"/>
      <c r="CF23" s="290"/>
      <c r="CG23" s="286">
        <v>18</v>
      </c>
      <c r="CH23" s="287"/>
      <c r="CI23" s="284"/>
      <c r="CJ23" s="288"/>
      <c r="CK23" s="289"/>
      <c r="CL23" s="290"/>
      <c r="CM23" s="286">
        <v>18</v>
      </c>
      <c r="CN23" s="287"/>
      <c r="CO23" s="284"/>
      <c r="CP23" s="288"/>
      <c r="CQ23" s="289"/>
      <c r="CR23" s="290"/>
      <c r="CS23" s="286">
        <v>18</v>
      </c>
      <c r="CT23" s="287"/>
      <c r="CU23" s="284"/>
      <c r="CV23" s="288"/>
      <c r="CW23" s="289"/>
      <c r="CX23" s="290"/>
      <c r="CY23" s="286">
        <v>18</v>
      </c>
      <c r="CZ23" s="287"/>
      <c r="DA23" s="284"/>
      <c r="DB23" s="288"/>
      <c r="DC23" s="289"/>
      <c r="DD23" s="290"/>
      <c r="DE23" s="286">
        <v>18</v>
      </c>
      <c r="DF23" s="287"/>
      <c r="DG23" s="284"/>
      <c r="DH23" s="288"/>
      <c r="DI23" s="289"/>
      <c r="DJ23" s="290"/>
      <c r="DK23" s="286">
        <v>18</v>
      </c>
      <c r="DL23" s="287"/>
      <c r="DM23" s="284"/>
      <c r="DN23" s="288"/>
      <c r="DO23" s="289"/>
      <c r="DP23" s="290"/>
      <c r="DQ23" s="286">
        <v>18</v>
      </c>
      <c r="DR23" s="287"/>
      <c r="DS23" s="284"/>
      <c r="DT23" s="288"/>
      <c r="DU23" s="289"/>
      <c r="DV23" s="290"/>
      <c r="DW23" s="286">
        <v>18</v>
      </c>
      <c r="DX23" s="287"/>
      <c r="DY23" s="284"/>
      <c r="DZ23" s="288"/>
      <c r="EA23" s="289"/>
      <c r="EB23" s="290"/>
      <c r="EC23" s="286">
        <v>18</v>
      </c>
      <c r="ED23" s="287"/>
      <c r="EE23" s="284"/>
      <c r="EF23" s="288"/>
      <c r="EG23" s="289"/>
      <c r="EH23" s="290"/>
    </row>
    <row r="24" spans="1:138" x14ac:dyDescent="0.25">
      <c r="A24" s="286">
        <v>19</v>
      </c>
      <c r="B24" s="287"/>
      <c r="C24" s="284"/>
      <c r="D24" s="288"/>
      <c r="E24" s="289"/>
      <c r="F24" s="290"/>
      <c r="G24" s="286">
        <v>19</v>
      </c>
      <c r="H24" s="287"/>
      <c r="I24" s="284"/>
      <c r="J24" s="288"/>
      <c r="K24" s="289"/>
      <c r="L24" s="290"/>
      <c r="M24" s="286">
        <v>19</v>
      </c>
      <c r="N24" s="287"/>
      <c r="O24" s="284"/>
      <c r="P24" s="288"/>
      <c r="Q24" s="289"/>
      <c r="R24" s="290"/>
      <c r="S24" s="286">
        <v>19</v>
      </c>
      <c r="T24" s="287"/>
      <c r="U24" s="284"/>
      <c r="V24" s="288"/>
      <c r="W24" s="289"/>
      <c r="X24" s="290"/>
      <c r="Y24" s="286">
        <v>19</v>
      </c>
      <c r="Z24" s="287"/>
      <c r="AA24" s="284"/>
      <c r="AB24" s="288"/>
      <c r="AC24" s="289"/>
      <c r="AD24" s="290"/>
      <c r="AE24" s="286">
        <v>19</v>
      </c>
      <c r="AF24" s="287"/>
      <c r="AG24" s="284"/>
      <c r="AH24" s="288"/>
      <c r="AI24" s="289"/>
      <c r="AJ24" s="290"/>
      <c r="AK24" s="286">
        <v>19</v>
      </c>
      <c r="AL24" s="287"/>
      <c r="AM24" s="284"/>
      <c r="AN24" s="288"/>
      <c r="AO24" s="289"/>
      <c r="AP24" s="290"/>
      <c r="AQ24" s="286">
        <v>19</v>
      </c>
      <c r="AR24" s="287"/>
      <c r="AS24" s="284"/>
      <c r="AT24" s="288"/>
      <c r="AU24" s="289"/>
      <c r="AV24" s="290"/>
      <c r="AW24" s="286">
        <v>19</v>
      </c>
      <c r="AX24" s="287"/>
      <c r="AY24" s="284"/>
      <c r="AZ24" s="288"/>
      <c r="BA24" s="289"/>
      <c r="BB24" s="290"/>
      <c r="BC24" s="286">
        <v>19</v>
      </c>
      <c r="BD24" s="287"/>
      <c r="BE24" s="284"/>
      <c r="BF24" s="288"/>
      <c r="BG24" s="289"/>
      <c r="BH24" s="290"/>
      <c r="BI24" s="286">
        <v>19</v>
      </c>
      <c r="BJ24" s="287"/>
      <c r="BK24" s="284"/>
      <c r="BL24" s="288"/>
      <c r="BM24" s="289"/>
      <c r="BN24" s="290"/>
      <c r="BO24" s="286">
        <v>19</v>
      </c>
      <c r="BP24" s="287"/>
      <c r="BQ24" s="284"/>
      <c r="BR24" s="288"/>
      <c r="BS24" s="289"/>
      <c r="BT24" s="290"/>
      <c r="BU24" s="286">
        <v>19</v>
      </c>
      <c r="BV24" s="287"/>
      <c r="BW24" s="284"/>
      <c r="BX24" s="288"/>
      <c r="BY24" s="289"/>
      <c r="BZ24" s="290"/>
      <c r="CA24" s="286">
        <v>19</v>
      </c>
      <c r="CB24" s="287"/>
      <c r="CC24" s="284"/>
      <c r="CD24" s="288"/>
      <c r="CE24" s="289"/>
      <c r="CF24" s="290"/>
      <c r="CG24" s="286">
        <v>19</v>
      </c>
      <c r="CH24" s="287"/>
      <c r="CI24" s="284"/>
      <c r="CJ24" s="288"/>
      <c r="CK24" s="289"/>
      <c r="CL24" s="290"/>
      <c r="CM24" s="286">
        <v>19</v>
      </c>
      <c r="CN24" s="287"/>
      <c r="CO24" s="284"/>
      <c r="CP24" s="288"/>
      <c r="CQ24" s="289"/>
      <c r="CR24" s="290"/>
      <c r="CS24" s="286">
        <v>19</v>
      </c>
      <c r="CT24" s="287"/>
      <c r="CU24" s="284"/>
      <c r="CV24" s="288"/>
      <c r="CW24" s="289"/>
      <c r="CX24" s="290"/>
      <c r="CY24" s="286">
        <v>19</v>
      </c>
      <c r="CZ24" s="287"/>
      <c r="DA24" s="284"/>
      <c r="DB24" s="288"/>
      <c r="DC24" s="289"/>
      <c r="DD24" s="290"/>
      <c r="DE24" s="286">
        <v>19</v>
      </c>
      <c r="DF24" s="287"/>
      <c r="DG24" s="284"/>
      <c r="DH24" s="288"/>
      <c r="DI24" s="289"/>
      <c r="DJ24" s="290"/>
      <c r="DK24" s="286">
        <v>19</v>
      </c>
      <c r="DL24" s="287"/>
      <c r="DM24" s="284"/>
      <c r="DN24" s="288"/>
      <c r="DO24" s="289"/>
      <c r="DP24" s="290"/>
      <c r="DQ24" s="286">
        <v>19</v>
      </c>
      <c r="DR24" s="287"/>
      <c r="DS24" s="284"/>
      <c r="DT24" s="288"/>
      <c r="DU24" s="289"/>
      <c r="DV24" s="290"/>
      <c r="DW24" s="286">
        <v>19</v>
      </c>
      <c r="DX24" s="287"/>
      <c r="DY24" s="284"/>
      <c r="DZ24" s="288"/>
      <c r="EA24" s="289"/>
      <c r="EB24" s="290"/>
      <c r="EC24" s="286">
        <v>19</v>
      </c>
      <c r="ED24" s="287"/>
      <c r="EE24" s="284"/>
      <c r="EF24" s="288"/>
      <c r="EG24" s="289"/>
      <c r="EH24" s="290"/>
    </row>
    <row r="25" spans="1:138" x14ac:dyDescent="0.25">
      <c r="A25" s="286">
        <v>20</v>
      </c>
      <c r="B25" s="287"/>
      <c r="C25" s="284"/>
      <c r="D25" s="288"/>
      <c r="E25" s="289"/>
      <c r="F25" s="290"/>
      <c r="G25" s="286">
        <v>20</v>
      </c>
      <c r="H25" s="287"/>
      <c r="I25" s="284"/>
      <c r="J25" s="288"/>
      <c r="K25" s="289"/>
      <c r="L25" s="290"/>
      <c r="M25" s="286">
        <v>20</v>
      </c>
      <c r="N25" s="287"/>
      <c r="O25" s="284"/>
      <c r="P25" s="288"/>
      <c r="Q25" s="289"/>
      <c r="R25" s="290"/>
      <c r="S25" s="286">
        <v>20</v>
      </c>
      <c r="T25" s="287"/>
      <c r="U25" s="284"/>
      <c r="V25" s="288"/>
      <c r="W25" s="289"/>
      <c r="X25" s="290"/>
      <c r="Y25" s="286">
        <v>20</v>
      </c>
      <c r="Z25" s="287"/>
      <c r="AA25" s="284"/>
      <c r="AB25" s="288"/>
      <c r="AC25" s="289"/>
      <c r="AD25" s="290"/>
      <c r="AE25" s="286">
        <v>20</v>
      </c>
      <c r="AF25" s="287"/>
      <c r="AG25" s="284"/>
      <c r="AH25" s="288"/>
      <c r="AI25" s="289"/>
      <c r="AJ25" s="290"/>
      <c r="AK25" s="286">
        <v>20</v>
      </c>
      <c r="AL25" s="287"/>
      <c r="AM25" s="284"/>
      <c r="AN25" s="288"/>
      <c r="AO25" s="289"/>
      <c r="AP25" s="290"/>
      <c r="AQ25" s="286">
        <v>20</v>
      </c>
      <c r="AR25" s="287"/>
      <c r="AS25" s="284"/>
      <c r="AT25" s="288"/>
      <c r="AU25" s="289"/>
      <c r="AV25" s="290"/>
      <c r="AW25" s="286">
        <v>20</v>
      </c>
      <c r="AX25" s="287"/>
      <c r="AY25" s="284"/>
      <c r="AZ25" s="288"/>
      <c r="BA25" s="289"/>
      <c r="BB25" s="290"/>
      <c r="BC25" s="286">
        <v>20</v>
      </c>
      <c r="BD25" s="287"/>
      <c r="BE25" s="284"/>
      <c r="BF25" s="288"/>
      <c r="BG25" s="289"/>
      <c r="BH25" s="290"/>
      <c r="BI25" s="286">
        <v>20</v>
      </c>
      <c r="BJ25" s="287"/>
      <c r="BK25" s="284"/>
      <c r="BL25" s="288"/>
      <c r="BM25" s="289"/>
      <c r="BN25" s="290"/>
      <c r="BO25" s="286">
        <v>20</v>
      </c>
      <c r="BP25" s="287"/>
      <c r="BQ25" s="284"/>
      <c r="BR25" s="288"/>
      <c r="BS25" s="289"/>
      <c r="BT25" s="290"/>
      <c r="BU25" s="286">
        <v>20</v>
      </c>
      <c r="BV25" s="287"/>
      <c r="BW25" s="284"/>
      <c r="BX25" s="288"/>
      <c r="BY25" s="289"/>
      <c r="BZ25" s="290"/>
      <c r="CA25" s="286">
        <v>20</v>
      </c>
      <c r="CB25" s="287"/>
      <c r="CC25" s="284"/>
      <c r="CD25" s="288"/>
      <c r="CE25" s="289"/>
      <c r="CF25" s="290"/>
      <c r="CG25" s="286">
        <v>20</v>
      </c>
      <c r="CH25" s="287"/>
      <c r="CI25" s="284"/>
      <c r="CJ25" s="288"/>
      <c r="CK25" s="289"/>
      <c r="CL25" s="290"/>
      <c r="CM25" s="286">
        <v>20</v>
      </c>
      <c r="CN25" s="287"/>
      <c r="CO25" s="284"/>
      <c r="CP25" s="288"/>
      <c r="CQ25" s="289"/>
      <c r="CR25" s="290"/>
      <c r="CS25" s="286">
        <v>20</v>
      </c>
      <c r="CT25" s="287"/>
      <c r="CU25" s="284"/>
      <c r="CV25" s="288"/>
      <c r="CW25" s="289"/>
      <c r="CX25" s="290"/>
      <c r="CY25" s="286">
        <v>20</v>
      </c>
      <c r="CZ25" s="287"/>
      <c r="DA25" s="284"/>
      <c r="DB25" s="288"/>
      <c r="DC25" s="289"/>
      <c r="DD25" s="290"/>
      <c r="DE25" s="286">
        <v>20</v>
      </c>
      <c r="DF25" s="287"/>
      <c r="DG25" s="284"/>
      <c r="DH25" s="288"/>
      <c r="DI25" s="289"/>
      <c r="DJ25" s="290"/>
      <c r="DK25" s="286">
        <v>20</v>
      </c>
      <c r="DL25" s="287"/>
      <c r="DM25" s="284"/>
      <c r="DN25" s="288"/>
      <c r="DO25" s="289"/>
      <c r="DP25" s="290"/>
      <c r="DQ25" s="286">
        <v>20</v>
      </c>
      <c r="DR25" s="287"/>
      <c r="DS25" s="284"/>
      <c r="DT25" s="288"/>
      <c r="DU25" s="289"/>
      <c r="DV25" s="290"/>
      <c r="DW25" s="286">
        <v>20</v>
      </c>
      <c r="DX25" s="287"/>
      <c r="DY25" s="284"/>
      <c r="DZ25" s="288"/>
      <c r="EA25" s="289"/>
      <c r="EB25" s="290"/>
      <c r="EC25" s="286">
        <v>20</v>
      </c>
      <c r="ED25" s="287"/>
      <c r="EE25" s="284"/>
      <c r="EF25" s="288"/>
      <c r="EG25" s="289"/>
      <c r="EH25" s="290"/>
    </row>
    <row r="26" spans="1:138" x14ac:dyDescent="0.25">
      <c r="A26" s="286">
        <v>21</v>
      </c>
      <c r="B26" s="287"/>
      <c r="C26" s="284"/>
      <c r="D26" s="288"/>
      <c r="E26" s="289"/>
      <c r="F26" s="290"/>
      <c r="G26" s="286">
        <v>21</v>
      </c>
      <c r="H26" s="287"/>
      <c r="I26" s="284"/>
      <c r="J26" s="288"/>
      <c r="K26" s="289"/>
      <c r="L26" s="290"/>
      <c r="M26" s="286">
        <v>21</v>
      </c>
      <c r="N26" s="287"/>
      <c r="O26" s="284"/>
      <c r="P26" s="288"/>
      <c r="Q26" s="289"/>
      <c r="R26" s="290"/>
      <c r="S26" s="286">
        <v>21</v>
      </c>
      <c r="T26" s="287"/>
      <c r="U26" s="284"/>
      <c r="V26" s="288"/>
      <c r="W26" s="289"/>
      <c r="X26" s="290"/>
      <c r="Y26" s="286">
        <v>21</v>
      </c>
      <c r="Z26" s="287"/>
      <c r="AA26" s="284"/>
      <c r="AB26" s="288"/>
      <c r="AC26" s="289"/>
      <c r="AD26" s="290"/>
      <c r="AE26" s="286">
        <v>21</v>
      </c>
      <c r="AF26" s="287"/>
      <c r="AG26" s="284"/>
      <c r="AH26" s="288"/>
      <c r="AI26" s="289"/>
      <c r="AJ26" s="290"/>
      <c r="AK26" s="286">
        <v>21</v>
      </c>
      <c r="AL26" s="287"/>
      <c r="AM26" s="284"/>
      <c r="AN26" s="288"/>
      <c r="AO26" s="289"/>
      <c r="AP26" s="290"/>
      <c r="AQ26" s="286">
        <v>21</v>
      </c>
      <c r="AR26" s="287"/>
      <c r="AS26" s="284"/>
      <c r="AT26" s="288"/>
      <c r="AU26" s="289"/>
      <c r="AV26" s="290"/>
      <c r="AW26" s="286">
        <v>21</v>
      </c>
      <c r="AX26" s="287"/>
      <c r="AY26" s="284"/>
      <c r="AZ26" s="288"/>
      <c r="BA26" s="289"/>
      <c r="BB26" s="290"/>
      <c r="BC26" s="286">
        <v>21</v>
      </c>
      <c r="BD26" s="287"/>
      <c r="BE26" s="284"/>
      <c r="BF26" s="288"/>
      <c r="BG26" s="289"/>
      <c r="BH26" s="290"/>
      <c r="BI26" s="286">
        <v>21</v>
      </c>
      <c r="BJ26" s="287"/>
      <c r="BK26" s="284"/>
      <c r="BL26" s="288"/>
      <c r="BM26" s="289"/>
      <c r="BN26" s="290"/>
      <c r="BO26" s="286">
        <v>21</v>
      </c>
      <c r="BP26" s="287"/>
      <c r="BQ26" s="284"/>
      <c r="BR26" s="288"/>
      <c r="BS26" s="289"/>
      <c r="BT26" s="290"/>
      <c r="BU26" s="286">
        <v>21</v>
      </c>
      <c r="BV26" s="287"/>
      <c r="BW26" s="284"/>
      <c r="BX26" s="288"/>
      <c r="BY26" s="289"/>
      <c r="BZ26" s="290"/>
      <c r="CA26" s="286">
        <v>21</v>
      </c>
      <c r="CB26" s="287"/>
      <c r="CC26" s="284"/>
      <c r="CD26" s="288"/>
      <c r="CE26" s="289"/>
      <c r="CF26" s="290"/>
      <c r="CG26" s="286">
        <v>21</v>
      </c>
      <c r="CH26" s="287"/>
      <c r="CI26" s="284"/>
      <c r="CJ26" s="288"/>
      <c r="CK26" s="289"/>
      <c r="CL26" s="290"/>
      <c r="CM26" s="286">
        <v>21</v>
      </c>
      <c r="CN26" s="287"/>
      <c r="CO26" s="284"/>
      <c r="CP26" s="288"/>
      <c r="CQ26" s="289"/>
      <c r="CR26" s="290"/>
      <c r="CS26" s="286">
        <v>21</v>
      </c>
      <c r="CT26" s="287"/>
      <c r="CU26" s="284"/>
      <c r="CV26" s="288"/>
      <c r="CW26" s="289"/>
      <c r="CX26" s="290"/>
      <c r="CY26" s="286">
        <v>21</v>
      </c>
      <c r="CZ26" s="287"/>
      <c r="DA26" s="284"/>
      <c r="DB26" s="288"/>
      <c r="DC26" s="289"/>
      <c r="DD26" s="290"/>
      <c r="DE26" s="286">
        <v>21</v>
      </c>
      <c r="DF26" s="287"/>
      <c r="DG26" s="284"/>
      <c r="DH26" s="288"/>
      <c r="DI26" s="289"/>
      <c r="DJ26" s="290"/>
      <c r="DK26" s="286">
        <v>21</v>
      </c>
      <c r="DL26" s="287"/>
      <c r="DM26" s="284"/>
      <c r="DN26" s="288"/>
      <c r="DO26" s="289"/>
      <c r="DP26" s="290"/>
      <c r="DQ26" s="286">
        <v>21</v>
      </c>
      <c r="DR26" s="287"/>
      <c r="DS26" s="284"/>
      <c r="DT26" s="288"/>
      <c r="DU26" s="289"/>
      <c r="DV26" s="290"/>
      <c r="DW26" s="286">
        <v>21</v>
      </c>
      <c r="DX26" s="287"/>
      <c r="DY26" s="284"/>
      <c r="DZ26" s="288"/>
      <c r="EA26" s="289"/>
      <c r="EB26" s="290"/>
      <c r="EC26" s="286">
        <v>21</v>
      </c>
      <c r="ED26" s="287"/>
      <c r="EE26" s="284"/>
      <c r="EF26" s="288"/>
      <c r="EG26" s="289"/>
      <c r="EH26" s="290"/>
    </row>
    <row r="27" spans="1:138" x14ac:dyDescent="0.25">
      <c r="A27" s="286">
        <v>22</v>
      </c>
      <c r="B27" s="287"/>
      <c r="C27" s="284"/>
      <c r="D27" s="288"/>
      <c r="E27" s="289"/>
      <c r="F27" s="290"/>
      <c r="G27" s="286">
        <v>22</v>
      </c>
      <c r="H27" s="287"/>
      <c r="I27" s="284"/>
      <c r="J27" s="288"/>
      <c r="K27" s="289"/>
      <c r="L27" s="290"/>
      <c r="M27" s="286">
        <v>22</v>
      </c>
      <c r="N27" s="287"/>
      <c r="O27" s="284"/>
      <c r="P27" s="288"/>
      <c r="Q27" s="289"/>
      <c r="R27" s="290"/>
      <c r="S27" s="286">
        <v>22</v>
      </c>
      <c r="T27" s="287"/>
      <c r="U27" s="284"/>
      <c r="V27" s="288"/>
      <c r="W27" s="289"/>
      <c r="X27" s="290"/>
      <c r="Y27" s="286">
        <v>22</v>
      </c>
      <c r="Z27" s="287"/>
      <c r="AA27" s="284"/>
      <c r="AB27" s="288"/>
      <c r="AC27" s="289"/>
      <c r="AD27" s="290"/>
      <c r="AE27" s="286">
        <v>22</v>
      </c>
      <c r="AF27" s="287"/>
      <c r="AG27" s="284"/>
      <c r="AH27" s="288"/>
      <c r="AI27" s="289"/>
      <c r="AJ27" s="290"/>
      <c r="AK27" s="286">
        <v>22</v>
      </c>
      <c r="AL27" s="287"/>
      <c r="AM27" s="284"/>
      <c r="AN27" s="288"/>
      <c r="AO27" s="289"/>
      <c r="AP27" s="290"/>
      <c r="AQ27" s="286">
        <v>22</v>
      </c>
      <c r="AR27" s="287"/>
      <c r="AS27" s="284"/>
      <c r="AT27" s="288"/>
      <c r="AU27" s="289"/>
      <c r="AV27" s="290"/>
      <c r="AW27" s="286">
        <v>22</v>
      </c>
      <c r="AX27" s="287"/>
      <c r="AY27" s="284"/>
      <c r="AZ27" s="288"/>
      <c r="BA27" s="289"/>
      <c r="BB27" s="290"/>
      <c r="BC27" s="286">
        <v>22</v>
      </c>
      <c r="BD27" s="287"/>
      <c r="BE27" s="284"/>
      <c r="BF27" s="288"/>
      <c r="BG27" s="289"/>
      <c r="BH27" s="290"/>
      <c r="BI27" s="286">
        <v>22</v>
      </c>
      <c r="BJ27" s="287"/>
      <c r="BK27" s="284"/>
      <c r="BL27" s="288"/>
      <c r="BM27" s="289"/>
      <c r="BN27" s="290"/>
      <c r="BO27" s="286">
        <v>22</v>
      </c>
      <c r="BP27" s="287"/>
      <c r="BQ27" s="284"/>
      <c r="BR27" s="288"/>
      <c r="BS27" s="289"/>
      <c r="BT27" s="290"/>
      <c r="BU27" s="286">
        <v>22</v>
      </c>
      <c r="BV27" s="287"/>
      <c r="BW27" s="284"/>
      <c r="BX27" s="288"/>
      <c r="BY27" s="289"/>
      <c r="BZ27" s="290"/>
      <c r="CA27" s="286">
        <v>22</v>
      </c>
      <c r="CB27" s="287"/>
      <c r="CC27" s="284"/>
      <c r="CD27" s="288"/>
      <c r="CE27" s="289"/>
      <c r="CF27" s="290"/>
      <c r="CG27" s="286">
        <v>22</v>
      </c>
      <c r="CH27" s="287"/>
      <c r="CI27" s="284"/>
      <c r="CJ27" s="288"/>
      <c r="CK27" s="289"/>
      <c r="CL27" s="290"/>
      <c r="CM27" s="286">
        <v>22</v>
      </c>
      <c r="CN27" s="287"/>
      <c r="CO27" s="284"/>
      <c r="CP27" s="288"/>
      <c r="CQ27" s="289"/>
      <c r="CR27" s="290"/>
      <c r="CS27" s="286">
        <v>22</v>
      </c>
      <c r="CT27" s="287"/>
      <c r="CU27" s="284"/>
      <c r="CV27" s="288"/>
      <c r="CW27" s="289"/>
      <c r="CX27" s="290"/>
      <c r="CY27" s="286">
        <v>22</v>
      </c>
      <c r="CZ27" s="287"/>
      <c r="DA27" s="284"/>
      <c r="DB27" s="288"/>
      <c r="DC27" s="289"/>
      <c r="DD27" s="290"/>
      <c r="DE27" s="286">
        <v>22</v>
      </c>
      <c r="DF27" s="287"/>
      <c r="DG27" s="284"/>
      <c r="DH27" s="288"/>
      <c r="DI27" s="289"/>
      <c r="DJ27" s="290"/>
      <c r="DK27" s="286">
        <v>22</v>
      </c>
      <c r="DL27" s="287"/>
      <c r="DM27" s="284"/>
      <c r="DN27" s="288"/>
      <c r="DO27" s="289"/>
      <c r="DP27" s="290"/>
      <c r="DQ27" s="286">
        <v>22</v>
      </c>
      <c r="DR27" s="287"/>
      <c r="DS27" s="284"/>
      <c r="DT27" s="288"/>
      <c r="DU27" s="289"/>
      <c r="DV27" s="290"/>
      <c r="DW27" s="286">
        <v>22</v>
      </c>
      <c r="DX27" s="287"/>
      <c r="DY27" s="284"/>
      <c r="DZ27" s="288"/>
      <c r="EA27" s="289"/>
      <c r="EB27" s="290"/>
      <c r="EC27" s="286">
        <v>22</v>
      </c>
      <c r="ED27" s="287"/>
      <c r="EE27" s="284"/>
      <c r="EF27" s="288"/>
      <c r="EG27" s="289"/>
      <c r="EH27" s="290"/>
    </row>
    <row r="28" spans="1:138" x14ac:dyDescent="0.25">
      <c r="A28" s="286">
        <v>23</v>
      </c>
      <c r="B28" s="287"/>
      <c r="C28" s="284"/>
      <c r="D28" s="288"/>
      <c r="E28" s="289"/>
      <c r="F28" s="290"/>
      <c r="G28" s="286">
        <v>23</v>
      </c>
      <c r="H28" s="287"/>
      <c r="I28" s="284"/>
      <c r="J28" s="288"/>
      <c r="K28" s="289"/>
      <c r="L28" s="290"/>
      <c r="M28" s="286">
        <v>23</v>
      </c>
      <c r="N28" s="287"/>
      <c r="O28" s="284"/>
      <c r="P28" s="288"/>
      <c r="Q28" s="289"/>
      <c r="R28" s="290"/>
      <c r="S28" s="286">
        <v>23</v>
      </c>
      <c r="T28" s="287"/>
      <c r="U28" s="284"/>
      <c r="V28" s="288"/>
      <c r="W28" s="289"/>
      <c r="X28" s="290"/>
      <c r="Y28" s="286">
        <v>23</v>
      </c>
      <c r="Z28" s="287"/>
      <c r="AA28" s="284"/>
      <c r="AB28" s="288"/>
      <c r="AC28" s="289"/>
      <c r="AD28" s="290"/>
      <c r="AE28" s="286">
        <v>23</v>
      </c>
      <c r="AF28" s="287"/>
      <c r="AG28" s="284"/>
      <c r="AH28" s="288"/>
      <c r="AI28" s="289"/>
      <c r="AJ28" s="290"/>
      <c r="AK28" s="286">
        <v>23</v>
      </c>
      <c r="AL28" s="287"/>
      <c r="AM28" s="284"/>
      <c r="AN28" s="288"/>
      <c r="AO28" s="289"/>
      <c r="AP28" s="290"/>
      <c r="AQ28" s="286">
        <v>23</v>
      </c>
      <c r="AR28" s="287"/>
      <c r="AS28" s="284"/>
      <c r="AT28" s="288"/>
      <c r="AU28" s="289"/>
      <c r="AV28" s="290"/>
      <c r="AW28" s="286">
        <v>23</v>
      </c>
      <c r="AX28" s="287"/>
      <c r="AY28" s="284"/>
      <c r="AZ28" s="288"/>
      <c r="BA28" s="289"/>
      <c r="BB28" s="290"/>
      <c r="BC28" s="286">
        <v>23</v>
      </c>
      <c r="BD28" s="287"/>
      <c r="BE28" s="284"/>
      <c r="BF28" s="288"/>
      <c r="BG28" s="289"/>
      <c r="BH28" s="290"/>
      <c r="BI28" s="286">
        <v>23</v>
      </c>
      <c r="BJ28" s="287"/>
      <c r="BK28" s="284"/>
      <c r="BL28" s="288"/>
      <c r="BM28" s="289"/>
      <c r="BN28" s="290"/>
      <c r="BO28" s="286">
        <v>23</v>
      </c>
      <c r="BP28" s="287"/>
      <c r="BQ28" s="284"/>
      <c r="BR28" s="288"/>
      <c r="BS28" s="289"/>
      <c r="BT28" s="290"/>
      <c r="BU28" s="286">
        <v>23</v>
      </c>
      <c r="BV28" s="287"/>
      <c r="BW28" s="284"/>
      <c r="BX28" s="288"/>
      <c r="BY28" s="289"/>
      <c r="BZ28" s="290"/>
      <c r="CA28" s="286">
        <v>23</v>
      </c>
      <c r="CB28" s="287"/>
      <c r="CC28" s="284"/>
      <c r="CD28" s="288"/>
      <c r="CE28" s="289"/>
      <c r="CF28" s="290"/>
      <c r="CG28" s="286">
        <v>23</v>
      </c>
      <c r="CH28" s="287"/>
      <c r="CI28" s="284"/>
      <c r="CJ28" s="288"/>
      <c r="CK28" s="289"/>
      <c r="CL28" s="290"/>
      <c r="CM28" s="286">
        <v>23</v>
      </c>
      <c r="CN28" s="287"/>
      <c r="CO28" s="284"/>
      <c r="CP28" s="288"/>
      <c r="CQ28" s="289"/>
      <c r="CR28" s="290"/>
      <c r="CS28" s="286">
        <v>23</v>
      </c>
      <c r="CT28" s="287"/>
      <c r="CU28" s="284"/>
      <c r="CV28" s="288"/>
      <c r="CW28" s="289"/>
      <c r="CX28" s="290"/>
      <c r="CY28" s="286">
        <v>23</v>
      </c>
      <c r="CZ28" s="287"/>
      <c r="DA28" s="284"/>
      <c r="DB28" s="288"/>
      <c r="DC28" s="289"/>
      <c r="DD28" s="290"/>
      <c r="DE28" s="286">
        <v>23</v>
      </c>
      <c r="DF28" s="287"/>
      <c r="DG28" s="284"/>
      <c r="DH28" s="288"/>
      <c r="DI28" s="289"/>
      <c r="DJ28" s="290"/>
      <c r="DK28" s="286">
        <v>23</v>
      </c>
      <c r="DL28" s="287"/>
      <c r="DM28" s="284"/>
      <c r="DN28" s="288"/>
      <c r="DO28" s="289"/>
      <c r="DP28" s="290"/>
      <c r="DQ28" s="286">
        <v>23</v>
      </c>
      <c r="DR28" s="287"/>
      <c r="DS28" s="284"/>
      <c r="DT28" s="288"/>
      <c r="DU28" s="289"/>
      <c r="DV28" s="290"/>
      <c r="DW28" s="286">
        <v>23</v>
      </c>
      <c r="DX28" s="287"/>
      <c r="DY28" s="284"/>
      <c r="DZ28" s="288"/>
      <c r="EA28" s="289"/>
      <c r="EB28" s="290"/>
      <c r="EC28" s="286">
        <v>23</v>
      </c>
      <c r="ED28" s="287"/>
      <c r="EE28" s="284"/>
      <c r="EF28" s="288"/>
      <c r="EG28" s="289"/>
      <c r="EH28" s="290"/>
    </row>
    <row r="29" spans="1:138" x14ac:dyDescent="0.25">
      <c r="A29" s="286">
        <v>24</v>
      </c>
      <c r="B29" s="287"/>
      <c r="C29" s="284"/>
      <c r="D29" s="288"/>
      <c r="E29" s="289"/>
      <c r="F29" s="290"/>
      <c r="G29" s="286">
        <v>24</v>
      </c>
      <c r="H29" s="287"/>
      <c r="I29" s="284"/>
      <c r="J29" s="288"/>
      <c r="K29" s="289"/>
      <c r="L29" s="290"/>
      <c r="M29" s="286">
        <v>24</v>
      </c>
      <c r="N29" s="287"/>
      <c r="O29" s="284"/>
      <c r="P29" s="288"/>
      <c r="Q29" s="289"/>
      <c r="R29" s="290"/>
      <c r="S29" s="286">
        <v>24</v>
      </c>
      <c r="T29" s="287"/>
      <c r="U29" s="284"/>
      <c r="V29" s="288"/>
      <c r="W29" s="289"/>
      <c r="X29" s="290"/>
      <c r="Y29" s="286">
        <v>24</v>
      </c>
      <c r="Z29" s="287"/>
      <c r="AA29" s="284"/>
      <c r="AB29" s="288"/>
      <c r="AC29" s="289"/>
      <c r="AD29" s="290"/>
      <c r="AE29" s="286">
        <v>24</v>
      </c>
      <c r="AF29" s="287"/>
      <c r="AG29" s="284"/>
      <c r="AH29" s="288"/>
      <c r="AI29" s="289"/>
      <c r="AJ29" s="290"/>
      <c r="AK29" s="286">
        <v>24</v>
      </c>
      <c r="AL29" s="287"/>
      <c r="AM29" s="284"/>
      <c r="AN29" s="288"/>
      <c r="AO29" s="289"/>
      <c r="AP29" s="290"/>
      <c r="AQ29" s="286">
        <v>24</v>
      </c>
      <c r="AR29" s="287"/>
      <c r="AS29" s="284"/>
      <c r="AT29" s="288"/>
      <c r="AU29" s="289"/>
      <c r="AV29" s="290"/>
      <c r="AW29" s="286">
        <v>24</v>
      </c>
      <c r="AX29" s="287"/>
      <c r="AY29" s="284"/>
      <c r="AZ29" s="288"/>
      <c r="BA29" s="289"/>
      <c r="BB29" s="290"/>
      <c r="BC29" s="286">
        <v>24</v>
      </c>
      <c r="BD29" s="287"/>
      <c r="BE29" s="284"/>
      <c r="BF29" s="288"/>
      <c r="BG29" s="289"/>
      <c r="BH29" s="290"/>
      <c r="BI29" s="286">
        <v>24</v>
      </c>
      <c r="BJ29" s="287"/>
      <c r="BK29" s="284"/>
      <c r="BL29" s="288"/>
      <c r="BM29" s="289"/>
      <c r="BN29" s="290"/>
      <c r="BO29" s="286">
        <v>24</v>
      </c>
      <c r="BP29" s="287"/>
      <c r="BQ29" s="284"/>
      <c r="BR29" s="288"/>
      <c r="BS29" s="289"/>
      <c r="BT29" s="290"/>
      <c r="BU29" s="286">
        <v>24</v>
      </c>
      <c r="BV29" s="287"/>
      <c r="BW29" s="284"/>
      <c r="BX29" s="288"/>
      <c r="BY29" s="289"/>
      <c r="BZ29" s="290"/>
      <c r="CA29" s="286">
        <v>24</v>
      </c>
      <c r="CB29" s="287"/>
      <c r="CC29" s="284"/>
      <c r="CD29" s="288"/>
      <c r="CE29" s="289"/>
      <c r="CF29" s="290"/>
      <c r="CG29" s="286">
        <v>24</v>
      </c>
      <c r="CH29" s="287"/>
      <c r="CI29" s="284"/>
      <c r="CJ29" s="288"/>
      <c r="CK29" s="289"/>
      <c r="CL29" s="290"/>
      <c r="CM29" s="286">
        <v>24</v>
      </c>
      <c r="CN29" s="287"/>
      <c r="CO29" s="284"/>
      <c r="CP29" s="288"/>
      <c r="CQ29" s="289"/>
      <c r="CR29" s="290"/>
      <c r="CS29" s="286">
        <v>24</v>
      </c>
      <c r="CT29" s="287"/>
      <c r="CU29" s="284"/>
      <c r="CV29" s="288"/>
      <c r="CW29" s="289"/>
      <c r="CX29" s="290"/>
      <c r="CY29" s="286">
        <v>24</v>
      </c>
      <c r="CZ29" s="287"/>
      <c r="DA29" s="284"/>
      <c r="DB29" s="288"/>
      <c r="DC29" s="289"/>
      <c r="DD29" s="290"/>
      <c r="DE29" s="286">
        <v>24</v>
      </c>
      <c r="DF29" s="287"/>
      <c r="DG29" s="284"/>
      <c r="DH29" s="288"/>
      <c r="DI29" s="289"/>
      <c r="DJ29" s="290"/>
      <c r="DK29" s="286">
        <v>24</v>
      </c>
      <c r="DL29" s="287"/>
      <c r="DM29" s="284"/>
      <c r="DN29" s="288"/>
      <c r="DO29" s="289"/>
      <c r="DP29" s="290"/>
      <c r="DQ29" s="286">
        <v>24</v>
      </c>
      <c r="DR29" s="287"/>
      <c r="DS29" s="284"/>
      <c r="DT29" s="288"/>
      <c r="DU29" s="289"/>
      <c r="DV29" s="290"/>
      <c r="DW29" s="286">
        <v>24</v>
      </c>
      <c r="DX29" s="287"/>
      <c r="DY29" s="284"/>
      <c r="DZ29" s="288"/>
      <c r="EA29" s="289"/>
      <c r="EB29" s="290"/>
      <c r="EC29" s="286">
        <v>24</v>
      </c>
      <c r="ED29" s="287"/>
      <c r="EE29" s="284"/>
      <c r="EF29" s="288"/>
      <c r="EG29" s="289"/>
      <c r="EH29" s="290"/>
    </row>
    <row r="30" spans="1:138" x14ac:dyDescent="0.25">
      <c r="A30" s="286">
        <v>25</v>
      </c>
      <c r="B30" s="287"/>
      <c r="C30" s="284"/>
      <c r="D30" s="288"/>
      <c r="E30" s="289"/>
      <c r="F30" s="290"/>
      <c r="G30" s="286">
        <v>25</v>
      </c>
      <c r="H30" s="287"/>
      <c r="I30" s="284"/>
      <c r="J30" s="288"/>
      <c r="K30" s="289"/>
      <c r="L30" s="290"/>
      <c r="M30" s="286">
        <v>25</v>
      </c>
      <c r="N30" s="287"/>
      <c r="O30" s="284"/>
      <c r="P30" s="288"/>
      <c r="Q30" s="289"/>
      <c r="R30" s="290"/>
      <c r="S30" s="286">
        <v>25</v>
      </c>
      <c r="T30" s="287"/>
      <c r="U30" s="284"/>
      <c r="V30" s="288"/>
      <c r="W30" s="289"/>
      <c r="X30" s="290"/>
      <c r="Y30" s="286">
        <v>25</v>
      </c>
      <c r="Z30" s="287"/>
      <c r="AA30" s="284"/>
      <c r="AB30" s="288"/>
      <c r="AC30" s="289"/>
      <c r="AD30" s="290"/>
      <c r="AE30" s="286">
        <v>25</v>
      </c>
      <c r="AF30" s="287"/>
      <c r="AG30" s="284"/>
      <c r="AH30" s="288"/>
      <c r="AI30" s="289"/>
      <c r="AJ30" s="290"/>
      <c r="AK30" s="286">
        <v>25</v>
      </c>
      <c r="AL30" s="287"/>
      <c r="AM30" s="284"/>
      <c r="AN30" s="288"/>
      <c r="AO30" s="289"/>
      <c r="AP30" s="290"/>
      <c r="AQ30" s="286">
        <v>25</v>
      </c>
      <c r="AR30" s="287"/>
      <c r="AS30" s="284"/>
      <c r="AT30" s="288"/>
      <c r="AU30" s="289"/>
      <c r="AV30" s="290"/>
      <c r="AW30" s="286">
        <v>25</v>
      </c>
      <c r="AX30" s="287"/>
      <c r="AY30" s="284"/>
      <c r="AZ30" s="288"/>
      <c r="BA30" s="289"/>
      <c r="BB30" s="290"/>
      <c r="BC30" s="286">
        <v>25</v>
      </c>
      <c r="BD30" s="287"/>
      <c r="BE30" s="284"/>
      <c r="BF30" s="288"/>
      <c r="BG30" s="289"/>
      <c r="BH30" s="290"/>
      <c r="BI30" s="286">
        <v>25</v>
      </c>
      <c r="BJ30" s="287"/>
      <c r="BK30" s="284"/>
      <c r="BL30" s="288"/>
      <c r="BM30" s="289"/>
      <c r="BN30" s="290"/>
      <c r="BO30" s="286">
        <v>25</v>
      </c>
      <c r="BP30" s="287"/>
      <c r="BQ30" s="284"/>
      <c r="BR30" s="288"/>
      <c r="BS30" s="289"/>
      <c r="BT30" s="290"/>
      <c r="BU30" s="286">
        <v>25</v>
      </c>
      <c r="BV30" s="287"/>
      <c r="BW30" s="284"/>
      <c r="BX30" s="288"/>
      <c r="BY30" s="289"/>
      <c r="BZ30" s="290"/>
      <c r="CA30" s="286">
        <v>25</v>
      </c>
      <c r="CB30" s="287"/>
      <c r="CC30" s="284"/>
      <c r="CD30" s="288"/>
      <c r="CE30" s="289"/>
      <c r="CF30" s="290"/>
      <c r="CG30" s="286">
        <v>25</v>
      </c>
      <c r="CH30" s="287"/>
      <c r="CI30" s="284"/>
      <c r="CJ30" s="288"/>
      <c r="CK30" s="289"/>
      <c r="CL30" s="290"/>
      <c r="CM30" s="286">
        <v>25</v>
      </c>
      <c r="CN30" s="287"/>
      <c r="CO30" s="284"/>
      <c r="CP30" s="288"/>
      <c r="CQ30" s="289"/>
      <c r="CR30" s="290"/>
      <c r="CS30" s="286">
        <v>25</v>
      </c>
      <c r="CT30" s="287"/>
      <c r="CU30" s="284"/>
      <c r="CV30" s="288"/>
      <c r="CW30" s="289"/>
      <c r="CX30" s="290"/>
      <c r="CY30" s="286">
        <v>25</v>
      </c>
      <c r="CZ30" s="287"/>
      <c r="DA30" s="284"/>
      <c r="DB30" s="288"/>
      <c r="DC30" s="289"/>
      <c r="DD30" s="290"/>
      <c r="DE30" s="286">
        <v>25</v>
      </c>
      <c r="DF30" s="287"/>
      <c r="DG30" s="284"/>
      <c r="DH30" s="288"/>
      <c r="DI30" s="289"/>
      <c r="DJ30" s="290"/>
      <c r="DK30" s="286">
        <v>25</v>
      </c>
      <c r="DL30" s="287"/>
      <c r="DM30" s="284"/>
      <c r="DN30" s="288"/>
      <c r="DO30" s="289"/>
      <c r="DP30" s="290"/>
      <c r="DQ30" s="286">
        <v>25</v>
      </c>
      <c r="DR30" s="287"/>
      <c r="DS30" s="284"/>
      <c r="DT30" s="288"/>
      <c r="DU30" s="289"/>
      <c r="DV30" s="290"/>
      <c r="DW30" s="286">
        <v>25</v>
      </c>
      <c r="DX30" s="287"/>
      <c r="DY30" s="284"/>
      <c r="DZ30" s="288"/>
      <c r="EA30" s="289"/>
      <c r="EB30" s="290"/>
      <c r="EC30" s="286">
        <v>25</v>
      </c>
      <c r="ED30" s="287"/>
      <c r="EE30" s="284"/>
      <c r="EF30" s="288"/>
      <c r="EG30" s="289"/>
      <c r="EH30" s="290"/>
    </row>
    <row r="31" spans="1:138" x14ac:dyDescent="0.25">
      <c r="A31" s="286">
        <v>26</v>
      </c>
      <c r="B31" s="287"/>
      <c r="C31" s="284"/>
      <c r="D31" s="288"/>
      <c r="E31" s="289"/>
      <c r="F31" s="290"/>
      <c r="G31" s="286">
        <v>26</v>
      </c>
      <c r="H31" s="287"/>
      <c r="I31" s="284"/>
      <c r="J31" s="288"/>
      <c r="K31" s="289"/>
      <c r="L31" s="290"/>
      <c r="M31" s="286">
        <v>26</v>
      </c>
      <c r="N31" s="287"/>
      <c r="O31" s="284"/>
      <c r="P31" s="288"/>
      <c r="Q31" s="289"/>
      <c r="R31" s="290"/>
      <c r="S31" s="286">
        <v>26</v>
      </c>
      <c r="T31" s="287"/>
      <c r="U31" s="284"/>
      <c r="V31" s="288"/>
      <c r="W31" s="289"/>
      <c r="X31" s="290"/>
      <c r="Y31" s="286">
        <v>26</v>
      </c>
      <c r="Z31" s="287"/>
      <c r="AA31" s="284"/>
      <c r="AB31" s="288"/>
      <c r="AC31" s="289"/>
      <c r="AD31" s="290"/>
      <c r="AE31" s="286">
        <v>26</v>
      </c>
      <c r="AF31" s="287"/>
      <c r="AG31" s="284"/>
      <c r="AH31" s="288"/>
      <c r="AI31" s="289"/>
      <c r="AJ31" s="290"/>
      <c r="AK31" s="286">
        <v>26</v>
      </c>
      <c r="AL31" s="287"/>
      <c r="AM31" s="284"/>
      <c r="AN31" s="288"/>
      <c r="AO31" s="289"/>
      <c r="AP31" s="290"/>
      <c r="AQ31" s="286">
        <v>26</v>
      </c>
      <c r="AR31" s="287"/>
      <c r="AS31" s="284"/>
      <c r="AT31" s="288"/>
      <c r="AU31" s="289"/>
      <c r="AV31" s="290"/>
      <c r="AW31" s="286">
        <v>26</v>
      </c>
      <c r="AX31" s="287"/>
      <c r="AY31" s="284"/>
      <c r="AZ31" s="288"/>
      <c r="BA31" s="289"/>
      <c r="BB31" s="290"/>
      <c r="BC31" s="286">
        <v>26</v>
      </c>
      <c r="BD31" s="287"/>
      <c r="BE31" s="284"/>
      <c r="BF31" s="288"/>
      <c r="BG31" s="289"/>
      <c r="BH31" s="290"/>
      <c r="BI31" s="286">
        <v>26</v>
      </c>
      <c r="BJ31" s="287"/>
      <c r="BK31" s="284"/>
      <c r="BL31" s="288"/>
      <c r="BM31" s="289"/>
      <c r="BN31" s="290"/>
      <c r="BO31" s="286">
        <v>26</v>
      </c>
      <c r="BP31" s="287"/>
      <c r="BQ31" s="284"/>
      <c r="BR31" s="288"/>
      <c r="BS31" s="289"/>
      <c r="BT31" s="290"/>
      <c r="BU31" s="286">
        <v>26</v>
      </c>
      <c r="BV31" s="287"/>
      <c r="BW31" s="284"/>
      <c r="BX31" s="288"/>
      <c r="BY31" s="289"/>
      <c r="BZ31" s="290"/>
      <c r="CA31" s="286">
        <v>26</v>
      </c>
      <c r="CB31" s="287"/>
      <c r="CC31" s="284"/>
      <c r="CD31" s="288"/>
      <c r="CE31" s="289"/>
      <c r="CF31" s="290"/>
      <c r="CG31" s="286">
        <v>26</v>
      </c>
      <c r="CH31" s="287"/>
      <c r="CI31" s="284"/>
      <c r="CJ31" s="288"/>
      <c r="CK31" s="289"/>
      <c r="CL31" s="290"/>
      <c r="CM31" s="286">
        <v>26</v>
      </c>
      <c r="CN31" s="287"/>
      <c r="CO31" s="284"/>
      <c r="CP31" s="288"/>
      <c r="CQ31" s="289"/>
      <c r="CR31" s="290"/>
      <c r="CS31" s="286">
        <v>26</v>
      </c>
      <c r="CT31" s="287"/>
      <c r="CU31" s="284"/>
      <c r="CV31" s="288"/>
      <c r="CW31" s="289"/>
      <c r="CX31" s="290"/>
      <c r="CY31" s="286">
        <v>26</v>
      </c>
      <c r="CZ31" s="287"/>
      <c r="DA31" s="284"/>
      <c r="DB31" s="288"/>
      <c r="DC31" s="289"/>
      <c r="DD31" s="290"/>
      <c r="DE31" s="286">
        <v>26</v>
      </c>
      <c r="DF31" s="287"/>
      <c r="DG31" s="284"/>
      <c r="DH31" s="288"/>
      <c r="DI31" s="289"/>
      <c r="DJ31" s="290"/>
      <c r="DK31" s="286">
        <v>26</v>
      </c>
      <c r="DL31" s="287"/>
      <c r="DM31" s="284"/>
      <c r="DN31" s="288"/>
      <c r="DO31" s="289"/>
      <c r="DP31" s="290"/>
      <c r="DQ31" s="286">
        <v>26</v>
      </c>
      <c r="DR31" s="287"/>
      <c r="DS31" s="284"/>
      <c r="DT31" s="288"/>
      <c r="DU31" s="289"/>
      <c r="DV31" s="290"/>
      <c r="DW31" s="286">
        <v>26</v>
      </c>
      <c r="DX31" s="287"/>
      <c r="DY31" s="284"/>
      <c r="DZ31" s="288"/>
      <c r="EA31" s="289"/>
      <c r="EB31" s="290"/>
      <c r="EC31" s="286">
        <v>26</v>
      </c>
      <c r="ED31" s="287"/>
      <c r="EE31" s="284"/>
      <c r="EF31" s="288"/>
      <c r="EG31" s="289"/>
      <c r="EH31" s="290"/>
    </row>
    <row r="32" spans="1:138" x14ac:dyDescent="0.25">
      <c r="A32" s="286">
        <v>27</v>
      </c>
      <c r="B32" s="287"/>
      <c r="C32" s="284"/>
      <c r="D32" s="288"/>
      <c r="E32" s="289"/>
      <c r="F32" s="290"/>
      <c r="G32" s="286">
        <v>27</v>
      </c>
      <c r="H32" s="287"/>
      <c r="I32" s="284"/>
      <c r="J32" s="288"/>
      <c r="K32" s="289"/>
      <c r="L32" s="290"/>
      <c r="M32" s="286">
        <v>27</v>
      </c>
      <c r="N32" s="287"/>
      <c r="O32" s="284"/>
      <c r="P32" s="288"/>
      <c r="Q32" s="289"/>
      <c r="R32" s="290"/>
      <c r="S32" s="286">
        <v>27</v>
      </c>
      <c r="T32" s="287"/>
      <c r="U32" s="284"/>
      <c r="V32" s="288"/>
      <c r="W32" s="289"/>
      <c r="X32" s="290"/>
      <c r="Y32" s="286">
        <v>27</v>
      </c>
      <c r="Z32" s="287"/>
      <c r="AA32" s="284"/>
      <c r="AB32" s="288"/>
      <c r="AC32" s="289"/>
      <c r="AD32" s="290"/>
      <c r="AE32" s="286">
        <v>27</v>
      </c>
      <c r="AF32" s="287"/>
      <c r="AG32" s="284"/>
      <c r="AH32" s="288"/>
      <c r="AI32" s="289"/>
      <c r="AJ32" s="290"/>
      <c r="AK32" s="286">
        <v>27</v>
      </c>
      <c r="AL32" s="287"/>
      <c r="AM32" s="284"/>
      <c r="AN32" s="288"/>
      <c r="AO32" s="289"/>
      <c r="AP32" s="290"/>
      <c r="AQ32" s="286">
        <v>27</v>
      </c>
      <c r="AR32" s="287"/>
      <c r="AS32" s="284"/>
      <c r="AT32" s="288"/>
      <c r="AU32" s="289"/>
      <c r="AV32" s="290"/>
      <c r="AW32" s="286">
        <v>27</v>
      </c>
      <c r="AX32" s="287"/>
      <c r="AY32" s="284"/>
      <c r="AZ32" s="288"/>
      <c r="BA32" s="289"/>
      <c r="BB32" s="290"/>
      <c r="BC32" s="286">
        <v>27</v>
      </c>
      <c r="BD32" s="287"/>
      <c r="BE32" s="284"/>
      <c r="BF32" s="288"/>
      <c r="BG32" s="289"/>
      <c r="BH32" s="290"/>
      <c r="BI32" s="286">
        <v>27</v>
      </c>
      <c r="BJ32" s="287"/>
      <c r="BK32" s="284"/>
      <c r="BL32" s="288"/>
      <c r="BM32" s="289"/>
      <c r="BN32" s="290"/>
      <c r="BO32" s="286">
        <v>27</v>
      </c>
      <c r="BP32" s="287"/>
      <c r="BQ32" s="284"/>
      <c r="BR32" s="288"/>
      <c r="BS32" s="289"/>
      <c r="BT32" s="290"/>
      <c r="BU32" s="286">
        <v>27</v>
      </c>
      <c r="BV32" s="287"/>
      <c r="BW32" s="284"/>
      <c r="BX32" s="288"/>
      <c r="BY32" s="289"/>
      <c r="BZ32" s="290"/>
      <c r="CA32" s="286">
        <v>27</v>
      </c>
      <c r="CB32" s="287"/>
      <c r="CC32" s="284"/>
      <c r="CD32" s="288"/>
      <c r="CE32" s="289"/>
      <c r="CF32" s="290"/>
      <c r="CG32" s="286">
        <v>27</v>
      </c>
      <c r="CH32" s="287"/>
      <c r="CI32" s="284"/>
      <c r="CJ32" s="288"/>
      <c r="CK32" s="289"/>
      <c r="CL32" s="290"/>
      <c r="CM32" s="286">
        <v>27</v>
      </c>
      <c r="CN32" s="287"/>
      <c r="CO32" s="284"/>
      <c r="CP32" s="288"/>
      <c r="CQ32" s="289"/>
      <c r="CR32" s="290"/>
      <c r="CS32" s="286">
        <v>27</v>
      </c>
      <c r="CT32" s="287"/>
      <c r="CU32" s="284"/>
      <c r="CV32" s="288"/>
      <c r="CW32" s="289"/>
      <c r="CX32" s="290"/>
      <c r="CY32" s="286">
        <v>27</v>
      </c>
      <c r="CZ32" s="287"/>
      <c r="DA32" s="284"/>
      <c r="DB32" s="288"/>
      <c r="DC32" s="289"/>
      <c r="DD32" s="290"/>
      <c r="DE32" s="286">
        <v>27</v>
      </c>
      <c r="DF32" s="287"/>
      <c r="DG32" s="284"/>
      <c r="DH32" s="288"/>
      <c r="DI32" s="289"/>
      <c r="DJ32" s="290"/>
      <c r="DK32" s="286">
        <v>27</v>
      </c>
      <c r="DL32" s="287"/>
      <c r="DM32" s="284"/>
      <c r="DN32" s="288"/>
      <c r="DO32" s="289"/>
      <c r="DP32" s="290"/>
      <c r="DQ32" s="286">
        <v>27</v>
      </c>
      <c r="DR32" s="287"/>
      <c r="DS32" s="284"/>
      <c r="DT32" s="288"/>
      <c r="DU32" s="289"/>
      <c r="DV32" s="290"/>
      <c r="DW32" s="286">
        <v>27</v>
      </c>
      <c r="DX32" s="287"/>
      <c r="DY32" s="284"/>
      <c r="DZ32" s="288"/>
      <c r="EA32" s="289"/>
      <c r="EB32" s="290"/>
      <c r="EC32" s="286">
        <v>27</v>
      </c>
      <c r="ED32" s="287"/>
      <c r="EE32" s="284"/>
      <c r="EF32" s="288"/>
      <c r="EG32" s="289"/>
      <c r="EH32" s="290"/>
    </row>
    <row r="33" spans="1:138" x14ac:dyDescent="0.25">
      <c r="A33" s="286">
        <v>28</v>
      </c>
      <c r="B33" s="287"/>
      <c r="C33" s="284"/>
      <c r="D33" s="288"/>
      <c r="E33" s="289"/>
      <c r="F33" s="290"/>
      <c r="G33" s="286">
        <v>28</v>
      </c>
      <c r="H33" s="287"/>
      <c r="I33" s="284"/>
      <c r="J33" s="288"/>
      <c r="K33" s="289"/>
      <c r="L33" s="290"/>
      <c r="M33" s="286">
        <v>28</v>
      </c>
      <c r="N33" s="287"/>
      <c r="O33" s="284"/>
      <c r="P33" s="288"/>
      <c r="Q33" s="289"/>
      <c r="R33" s="290"/>
      <c r="S33" s="286">
        <v>28</v>
      </c>
      <c r="T33" s="287"/>
      <c r="U33" s="284"/>
      <c r="V33" s="288"/>
      <c r="W33" s="289"/>
      <c r="X33" s="290"/>
      <c r="Y33" s="286">
        <v>28</v>
      </c>
      <c r="Z33" s="287"/>
      <c r="AA33" s="284"/>
      <c r="AB33" s="288"/>
      <c r="AC33" s="289"/>
      <c r="AD33" s="290"/>
      <c r="AE33" s="286">
        <v>28</v>
      </c>
      <c r="AF33" s="287"/>
      <c r="AG33" s="284"/>
      <c r="AH33" s="288"/>
      <c r="AI33" s="289"/>
      <c r="AJ33" s="290"/>
      <c r="AK33" s="286">
        <v>28</v>
      </c>
      <c r="AL33" s="287"/>
      <c r="AM33" s="284"/>
      <c r="AN33" s="288"/>
      <c r="AO33" s="289"/>
      <c r="AP33" s="290"/>
      <c r="AQ33" s="286">
        <v>28</v>
      </c>
      <c r="AR33" s="287"/>
      <c r="AS33" s="284"/>
      <c r="AT33" s="288"/>
      <c r="AU33" s="289"/>
      <c r="AV33" s="290"/>
      <c r="AW33" s="286">
        <v>28</v>
      </c>
      <c r="AX33" s="287"/>
      <c r="AY33" s="284"/>
      <c r="AZ33" s="288"/>
      <c r="BA33" s="289"/>
      <c r="BB33" s="290"/>
      <c r="BC33" s="286">
        <v>28</v>
      </c>
      <c r="BD33" s="287"/>
      <c r="BE33" s="284"/>
      <c r="BF33" s="288"/>
      <c r="BG33" s="289"/>
      <c r="BH33" s="290"/>
      <c r="BI33" s="286">
        <v>28</v>
      </c>
      <c r="BJ33" s="287"/>
      <c r="BK33" s="284"/>
      <c r="BL33" s="288"/>
      <c r="BM33" s="289"/>
      <c r="BN33" s="290"/>
      <c r="BO33" s="286">
        <v>28</v>
      </c>
      <c r="BP33" s="287"/>
      <c r="BQ33" s="284"/>
      <c r="BR33" s="288"/>
      <c r="BS33" s="289"/>
      <c r="BT33" s="290"/>
      <c r="BU33" s="286">
        <v>28</v>
      </c>
      <c r="BV33" s="287"/>
      <c r="BW33" s="284"/>
      <c r="BX33" s="288"/>
      <c r="BY33" s="289"/>
      <c r="BZ33" s="290"/>
      <c r="CA33" s="286">
        <v>28</v>
      </c>
      <c r="CB33" s="287"/>
      <c r="CC33" s="284"/>
      <c r="CD33" s="288"/>
      <c r="CE33" s="289"/>
      <c r="CF33" s="290"/>
      <c r="CG33" s="286">
        <v>28</v>
      </c>
      <c r="CH33" s="287"/>
      <c r="CI33" s="284"/>
      <c r="CJ33" s="288"/>
      <c r="CK33" s="289"/>
      <c r="CL33" s="290"/>
      <c r="CM33" s="286">
        <v>28</v>
      </c>
      <c r="CN33" s="287"/>
      <c r="CO33" s="284"/>
      <c r="CP33" s="288"/>
      <c r="CQ33" s="289"/>
      <c r="CR33" s="290"/>
      <c r="CS33" s="286">
        <v>28</v>
      </c>
      <c r="CT33" s="287"/>
      <c r="CU33" s="284"/>
      <c r="CV33" s="288"/>
      <c r="CW33" s="289"/>
      <c r="CX33" s="290"/>
      <c r="CY33" s="286">
        <v>28</v>
      </c>
      <c r="CZ33" s="287"/>
      <c r="DA33" s="284"/>
      <c r="DB33" s="288"/>
      <c r="DC33" s="289"/>
      <c r="DD33" s="290"/>
      <c r="DE33" s="286">
        <v>28</v>
      </c>
      <c r="DF33" s="287"/>
      <c r="DG33" s="284"/>
      <c r="DH33" s="288"/>
      <c r="DI33" s="289"/>
      <c r="DJ33" s="290"/>
      <c r="DK33" s="286">
        <v>28</v>
      </c>
      <c r="DL33" s="287"/>
      <c r="DM33" s="284"/>
      <c r="DN33" s="288"/>
      <c r="DO33" s="289"/>
      <c r="DP33" s="290"/>
      <c r="DQ33" s="286">
        <v>28</v>
      </c>
      <c r="DR33" s="287"/>
      <c r="DS33" s="284"/>
      <c r="DT33" s="288"/>
      <c r="DU33" s="289"/>
      <c r="DV33" s="290"/>
      <c r="DW33" s="286">
        <v>28</v>
      </c>
      <c r="DX33" s="287"/>
      <c r="DY33" s="284"/>
      <c r="DZ33" s="288"/>
      <c r="EA33" s="289"/>
      <c r="EB33" s="290"/>
      <c r="EC33" s="286">
        <v>28</v>
      </c>
      <c r="ED33" s="287"/>
      <c r="EE33" s="284"/>
      <c r="EF33" s="288"/>
      <c r="EG33" s="289"/>
      <c r="EH33" s="290"/>
    </row>
    <row r="34" spans="1:138" x14ac:dyDescent="0.25">
      <c r="A34" s="286">
        <v>29</v>
      </c>
      <c r="B34" s="287"/>
      <c r="C34" s="284"/>
      <c r="D34" s="288"/>
      <c r="E34" s="289"/>
      <c r="F34" s="290"/>
      <c r="G34" s="286">
        <v>29</v>
      </c>
      <c r="H34" s="287"/>
      <c r="I34" s="284"/>
      <c r="J34" s="288"/>
      <c r="K34" s="289"/>
      <c r="L34" s="290"/>
      <c r="M34" s="286">
        <v>29</v>
      </c>
      <c r="N34" s="287"/>
      <c r="O34" s="284"/>
      <c r="P34" s="288"/>
      <c r="Q34" s="289"/>
      <c r="R34" s="290"/>
      <c r="S34" s="286">
        <v>29</v>
      </c>
      <c r="T34" s="287"/>
      <c r="U34" s="284"/>
      <c r="V34" s="288"/>
      <c r="W34" s="289"/>
      <c r="X34" s="290"/>
      <c r="Y34" s="286">
        <v>29</v>
      </c>
      <c r="Z34" s="287"/>
      <c r="AA34" s="284"/>
      <c r="AB34" s="288"/>
      <c r="AC34" s="289"/>
      <c r="AD34" s="290"/>
      <c r="AE34" s="286">
        <v>29</v>
      </c>
      <c r="AF34" s="287"/>
      <c r="AG34" s="284"/>
      <c r="AH34" s="288"/>
      <c r="AI34" s="289"/>
      <c r="AJ34" s="290"/>
      <c r="AK34" s="286">
        <v>29</v>
      </c>
      <c r="AL34" s="287"/>
      <c r="AM34" s="284"/>
      <c r="AN34" s="288"/>
      <c r="AO34" s="289"/>
      <c r="AP34" s="290"/>
      <c r="AQ34" s="286">
        <v>29</v>
      </c>
      <c r="AR34" s="287"/>
      <c r="AS34" s="284"/>
      <c r="AT34" s="288"/>
      <c r="AU34" s="289"/>
      <c r="AV34" s="290"/>
      <c r="AW34" s="286">
        <v>29</v>
      </c>
      <c r="AX34" s="287"/>
      <c r="AY34" s="284"/>
      <c r="AZ34" s="288"/>
      <c r="BA34" s="289"/>
      <c r="BB34" s="290"/>
      <c r="BC34" s="286">
        <v>29</v>
      </c>
      <c r="BD34" s="287"/>
      <c r="BE34" s="284"/>
      <c r="BF34" s="288"/>
      <c r="BG34" s="289"/>
      <c r="BH34" s="290"/>
      <c r="BI34" s="286">
        <v>29</v>
      </c>
      <c r="BJ34" s="287"/>
      <c r="BK34" s="284"/>
      <c r="BL34" s="288"/>
      <c r="BM34" s="289"/>
      <c r="BN34" s="290"/>
      <c r="BO34" s="286">
        <v>29</v>
      </c>
      <c r="BP34" s="287"/>
      <c r="BQ34" s="284"/>
      <c r="BR34" s="288"/>
      <c r="BS34" s="289"/>
      <c r="BT34" s="290"/>
      <c r="BU34" s="286">
        <v>29</v>
      </c>
      <c r="BV34" s="287"/>
      <c r="BW34" s="284"/>
      <c r="BX34" s="288"/>
      <c r="BY34" s="289"/>
      <c r="BZ34" s="290"/>
      <c r="CA34" s="286">
        <v>29</v>
      </c>
      <c r="CB34" s="287"/>
      <c r="CC34" s="284"/>
      <c r="CD34" s="288"/>
      <c r="CE34" s="289"/>
      <c r="CF34" s="290"/>
      <c r="CG34" s="286">
        <v>29</v>
      </c>
      <c r="CH34" s="287"/>
      <c r="CI34" s="284"/>
      <c r="CJ34" s="288"/>
      <c r="CK34" s="289"/>
      <c r="CL34" s="290"/>
      <c r="CM34" s="286">
        <v>29</v>
      </c>
      <c r="CN34" s="287"/>
      <c r="CO34" s="284"/>
      <c r="CP34" s="288"/>
      <c r="CQ34" s="289"/>
      <c r="CR34" s="290"/>
      <c r="CS34" s="286">
        <v>29</v>
      </c>
      <c r="CT34" s="287"/>
      <c r="CU34" s="284"/>
      <c r="CV34" s="288"/>
      <c r="CW34" s="289"/>
      <c r="CX34" s="290"/>
      <c r="CY34" s="286">
        <v>29</v>
      </c>
      <c r="CZ34" s="287"/>
      <c r="DA34" s="284"/>
      <c r="DB34" s="288"/>
      <c r="DC34" s="289"/>
      <c r="DD34" s="290"/>
      <c r="DE34" s="286">
        <v>29</v>
      </c>
      <c r="DF34" s="287"/>
      <c r="DG34" s="284"/>
      <c r="DH34" s="288"/>
      <c r="DI34" s="289"/>
      <c r="DJ34" s="290"/>
      <c r="DK34" s="286">
        <v>29</v>
      </c>
      <c r="DL34" s="287"/>
      <c r="DM34" s="284"/>
      <c r="DN34" s="288"/>
      <c r="DO34" s="289"/>
      <c r="DP34" s="290"/>
      <c r="DQ34" s="286">
        <v>29</v>
      </c>
      <c r="DR34" s="287"/>
      <c r="DS34" s="284"/>
      <c r="DT34" s="288"/>
      <c r="DU34" s="289"/>
      <c r="DV34" s="290"/>
      <c r="DW34" s="286">
        <v>29</v>
      </c>
      <c r="DX34" s="287"/>
      <c r="DY34" s="284"/>
      <c r="DZ34" s="288"/>
      <c r="EA34" s="289"/>
      <c r="EB34" s="290"/>
      <c r="EC34" s="286">
        <v>29</v>
      </c>
      <c r="ED34" s="287"/>
      <c r="EE34" s="284"/>
      <c r="EF34" s="288"/>
      <c r="EG34" s="289"/>
      <c r="EH34" s="290"/>
    </row>
    <row r="35" spans="1:138" x14ac:dyDescent="0.25">
      <c r="A35" s="286">
        <v>30</v>
      </c>
      <c r="B35" s="287"/>
      <c r="C35" s="284"/>
      <c r="D35" s="288"/>
      <c r="E35" s="289"/>
      <c r="F35" s="290"/>
      <c r="G35" s="286">
        <v>30</v>
      </c>
      <c r="H35" s="287"/>
      <c r="I35" s="284"/>
      <c r="J35" s="288"/>
      <c r="K35" s="289"/>
      <c r="L35" s="290"/>
      <c r="M35" s="286">
        <v>30</v>
      </c>
      <c r="N35" s="287"/>
      <c r="O35" s="284"/>
      <c r="P35" s="288"/>
      <c r="Q35" s="289"/>
      <c r="R35" s="290"/>
      <c r="S35" s="286">
        <v>30</v>
      </c>
      <c r="T35" s="287"/>
      <c r="U35" s="284"/>
      <c r="V35" s="288"/>
      <c r="W35" s="289"/>
      <c r="X35" s="290"/>
      <c r="Y35" s="286">
        <v>30</v>
      </c>
      <c r="Z35" s="287"/>
      <c r="AA35" s="284"/>
      <c r="AB35" s="288"/>
      <c r="AC35" s="289"/>
      <c r="AD35" s="290"/>
      <c r="AE35" s="286">
        <v>30</v>
      </c>
      <c r="AF35" s="287"/>
      <c r="AG35" s="284"/>
      <c r="AH35" s="288"/>
      <c r="AI35" s="289"/>
      <c r="AJ35" s="290"/>
      <c r="AK35" s="286">
        <v>30</v>
      </c>
      <c r="AL35" s="287"/>
      <c r="AM35" s="284"/>
      <c r="AN35" s="288"/>
      <c r="AO35" s="289"/>
      <c r="AP35" s="290"/>
      <c r="AQ35" s="286">
        <v>30</v>
      </c>
      <c r="AR35" s="287"/>
      <c r="AS35" s="284"/>
      <c r="AT35" s="288"/>
      <c r="AU35" s="289"/>
      <c r="AV35" s="290"/>
      <c r="AW35" s="286">
        <v>30</v>
      </c>
      <c r="AX35" s="287"/>
      <c r="AY35" s="284"/>
      <c r="AZ35" s="288"/>
      <c r="BA35" s="289"/>
      <c r="BB35" s="290"/>
      <c r="BC35" s="286">
        <v>30</v>
      </c>
      <c r="BD35" s="287"/>
      <c r="BE35" s="284"/>
      <c r="BF35" s="288"/>
      <c r="BG35" s="289"/>
      <c r="BH35" s="290"/>
      <c r="BI35" s="286">
        <v>30</v>
      </c>
      <c r="BJ35" s="287"/>
      <c r="BK35" s="284"/>
      <c r="BL35" s="288"/>
      <c r="BM35" s="289"/>
      <c r="BN35" s="290"/>
      <c r="BO35" s="286">
        <v>30</v>
      </c>
      <c r="BP35" s="287"/>
      <c r="BQ35" s="284"/>
      <c r="BR35" s="288"/>
      <c r="BS35" s="289"/>
      <c r="BT35" s="290"/>
      <c r="BU35" s="286">
        <v>30</v>
      </c>
      <c r="BV35" s="287"/>
      <c r="BW35" s="284"/>
      <c r="BX35" s="288"/>
      <c r="BY35" s="289"/>
      <c r="BZ35" s="290"/>
      <c r="CA35" s="286">
        <v>30</v>
      </c>
      <c r="CB35" s="287"/>
      <c r="CC35" s="284"/>
      <c r="CD35" s="288"/>
      <c r="CE35" s="289"/>
      <c r="CF35" s="290"/>
      <c r="CG35" s="286">
        <v>30</v>
      </c>
      <c r="CH35" s="287"/>
      <c r="CI35" s="284"/>
      <c r="CJ35" s="288"/>
      <c r="CK35" s="289"/>
      <c r="CL35" s="290"/>
      <c r="CM35" s="286">
        <v>30</v>
      </c>
      <c r="CN35" s="287"/>
      <c r="CO35" s="284"/>
      <c r="CP35" s="288"/>
      <c r="CQ35" s="289"/>
      <c r="CR35" s="290"/>
      <c r="CS35" s="286">
        <v>30</v>
      </c>
      <c r="CT35" s="287"/>
      <c r="CU35" s="284"/>
      <c r="CV35" s="288"/>
      <c r="CW35" s="289"/>
      <c r="CX35" s="290"/>
      <c r="CY35" s="286">
        <v>30</v>
      </c>
      <c r="CZ35" s="287"/>
      <c r="DA35" s="284"/>
      <c r="DB35" s="288"/>
      <c r="DC35" s="289"/>
      <c r="DD35" s="290"/>
      <c r="DE35" s="286">
        <v>30</v>
      </c>
      <c r="DF35" s="287"/>
      <c r="DG35" s="284"/>
      <c r="DH35" s="288"/>
      <c r="DI35" s="289"/>
      <c r="DJ35" s="290"/>
      <c r="DK35" s="286">
        <v>30</v>
      </c>
      <c r="DL35" s="287"/>
      <c r="DM35" s="284"/>
      <c r="DN35" s="288"/>
      <c r="DO35" s="289"/>
      <c r="DP35" s="290"/>
      <c r="DQ35" s="286">
        <v>30</v>
      </c>
      <c r="DR35" s="287"/>
      <c r="DS35" s="284"/>
      <c r="DT35" s="288"/>
      <c r="DU35" s="289"/>
      <c r="DV35" s="290"/>
      <c r="DW35" s="286">
        <v>30</v>
      </c>
      <c r="DX35" s="287"/>
      <c r="DY35" s="284"/>
      <c r="DZ35" s="288"/>
      <c r="EA35" s="289"/>
      <c r="EB35" s="290"/>
      <c r="EC35" s="286">
        <v>30</v>
      </c>
      <c r="ED35" s="287"/>
      <c r="EE35" s="284"/>
      <c r="EF35" s="288"/>
      <c r="EG35" s="289"/>
      <c r="EH35" s="290"/>
    </row>
    <row r="36" spans="1:138" ht="15.75" thickBot="1" x14ac:dyDescent="0.3">
      <c r="A36" s="291" t="s">
        <v>28</v>
      </c>
      <c r="B36" s="292"/>
      <c r="C36" s="293">
        <v>208.7</v>
      </c>
      <c r="D36" s="294"/>
      <c r="E36" s="5">
        <v>5.6687500000000064</v>
      </c>
      <c r="F36" s="295"/>
      <c r="G36" s="291" t="s">
        <v>28</v>
      </c>
      <c r="H36" s="292"/>
      <c r="I36" s="293">
        <v>14.788</v>
      </c>
      <c r="J36" s="294"/>
      <c r="K36" s="5">
        <v>1.0640000000000003E-3</v>
      </c>
      <c r="L36" s="295"/>
      <c r="M36" s="291" t="s">
        <v>28</v>
      </c>
      <c r="N36" s="292"/>
      <c r="O36" s="293">
        <v>11.729999999999999</v>
      </c>
      <c r="P36" s="294"/>
      <c r="Q36" s="5">
        <v>2.6355000000000068E-3</v>
      </c>
      <c r="R36" s="295"/>
      <c r="S36" s="291" t="s">
        <v>28</v>
      </c>
      <c r="T36" s="292"/>
      <c r="U36" s="293">
        <v>7.3330000000000002</v>
      </c>
      <c r="V36" s="294"/>
      <c r="W36" s="5">
        <v>1.0018750000000017E-3</v>
      </c>
      <c r="X36" s="295"/>
      <c r="Y36" s="291" t="s">
        <v>28</v>
      </c>
      <c r="Z36" s="292"/>
      <c r="AA36" s="293">
        <v>21.335000000000001</v>
      </c>
      <c r="AB36" s="294"/>
      <c r="AC36" s="5">
        <v>2.8750000000003659E-6</v>
      </c>
      <c r="AD36" s="295"/>
      <c r="AE36" s="291" t="s">
        <v>28</v>
      </c>
      <c r="AF36" s="292"/>
      <c r="AG36" s="293">
        <v>360.3</v>
      </c>
      <c r="AH36" s="294"/>
      <c r="AI36" s="5">
        <v>3.8787500000000152</v>
      </c>
      <c r="AJ36" s="295"/>
      <c r="AK36" s="291" t="s">
        <v>28</v>
      </c>
      <c r="AL36" s="292"/>
      <c r="AM36" s="293">
        <v>6.5529999999999999</v>
      </c>
      <c r="AN36" s="294"/>
      <c r="AO36" s="5">
        <v>4.2448749999999917E-3</v>
      </c>
      <c r="AP36" s="295"/>
      <c r="AQ36" s="291" t="s">
        <v>28</v>
      </c>
      <c r="AR36" s="292"/>
      <c r="AS36" s="293">
        <v>679.40000000000009</v>
      </c>
      <c r="AT36" s="294"/>
      <c r="AU36" s="5">
        <v>4.3349999999999635</v>
      </c>
      <c r="AV36" s="295"/>
      <c r="AW36" s="291" t="s">
        <v>28</v>
      </c>
      <c r="AX36" s="292"/>
      <c r="AY36" s="293"/>
      <c r="AZ36" s="294"/>
      <c r="BA36" s="5"/>
      <c r="BB36" s="295"/>
      <c r="BC36" s="291" t="s">
        <v>28</v>
      </c>
      <c r="BD36" s="292"/>
      <c r="BE36" s="293"/>
      <c r="BF36" s="294"/>
      <c r="BG36" s="5"/>
      <c r="BH36" s="295"/>
      <c r="BI36" s="291" t="s">
        <v>28</v>
      </c>
      <c r="BJ36" s="292"/>
      <c r="BK36" s="293"/>
      <c r="BL36" s="294"/>
      <c r="BM36" s="5"/>
      <c r="BN36" s="295"/>
      <c r="BO36" s="291" t="s">
        <v>28</v>
      </c>
      <c r="BP36" s="292"/>
      <c r="BQ36" s="293"/>
      <c r="BR36" s="294"/>
      <c r="BS36" s="5"/>
      <c r="BT36" s="295"/>
      <c r="BU36" s="291" t="s">
        <v>28</v>
      </c>
      <c r="BV36" s="292"/>
      <c r="BW36" s="293"/>
      <c r="BX36" s="294"/>
      <c r="BY36" s="5"/>
      <c r="BZ36" s="295"/>
      <c r="CA36" s="291" t="s">
        <v>28</v>
      </c>
      <c r="CB36" s="292"/>
      <c r="CC36" s="293"/>
      <c r="CD36" s="294"/>
      <c r="CE36" s="5"/>
      <c r="CF36" s="295"/>
      <c r="CG36" s="291" t="s">
        <v>28</v>
      </c>
      <c r="CH36" s="292"/>
      <c r="CI36" s="293">
        <v>800</v>
      </c>
      <c r="CJ36" s="294"/>
      <c r="CK36" s="5">
        <v>0</v>
      </c>
      <c r="CL36" s="295"/>
      <c r="CM36" s="291" t="s">
        <v>28</v>
      </c>
      <c r="CN36" s="292"/>
      <c r="CO36" s="293">
        <v>677</v>
      </c>
      <c r="CP36" s="294"/>
      <c r="CQ36" s="5">
        <v>29.875</v>
      </c>
      <c r="CR36" s="295"/>
      <c r="CS36" s="291" t="s">
        <v>28</v>
      </c>
      <c r="CT36" s="292"/>
      <c r="CU36" s="293">
        <v>128</v>
      </c>
      <c r="CV36" s="294"/>
      <c r="CW36" s="5">
        <v>52</v>
      </c>
      <c r="CX36" s="295"/>
      <c r="CY36" s="291" t="s">
        <v>28</v>
      </c>
      <c r="CZ36" s="292"/>
      <c r="DA36" s="293"/>
      <c r="DB36" s="294"/>
      <c r="DC36" s="5"/>
      <c r="DD36" s="295"/>
      <c r="DE36" s="291" t="s">
        <v>28</v>
      </c>
      <c r="DF36" s="292"/>
      <c r="DG36" s="293"/>
      <c r="DH36" s="294"/>
      <c r="DI36" s="5"/>
      <c r="DJ36" s="295"/>
      <c r="DK36" s="291" t="s">
        <v>28</v>
      </c>
      <c r="DL36" s="292"/>
      <c r="DM36" s="293"/>
      <c r="DN36" s="294"/>
      <c r="DO36" s="5"/>
      <c r="DP36" s="295"/>
      <c r="DQ36" s="291" t="s">
        <v>28</v>
      </c>
      <c r="DR36" s="292"/>
      <c r="DS36" s="293"/>
      <c r="DT36" s="294"/>
      <c r="DU36" s="5"/>
      <c r="DV36" s="295"/>
      <c r="DW36" s="291" t="s">
        <v>28</v>
      </c>
      <c r="DX36" s="292"/>
      <c r="DY36" s="293"/>
      <c r="DZ36" s="294"/>
      <c r="EA36" s="5"/>
      <c r="EB36" s="295"/>
      <c r="EC36" s="291" t="s">
        <v>28</v>
      </c>
      <c r="ED36" s="292"/>
      <c r="EE36" s="293">
        <v>56</v>
      </c>
      <c r="EF36" s="294"/>
      <c r="EG36" s="5">
        <v>14</v>
      </c>
      <c r="EH36" s="295"/>
    </row>
    <row r="37" spans="1:138" ht="15" customHeight="1" x14ac:dyDescent="0.25">
      <c r="A37" s="451" t="s">
        <v>30</v>
      </c>
      <c r="B37" s="296" t="s">
        <v>24</v>
      </c>
      <c r="C37" s="297">
        <v>8</v>
      </c>
      <c r="D37" s="297" t="s">
        <v>75</v>
      </c>
      <c r="E37" s="297">
        <v>2.27</v>
      </c>
      <c r="F37" s="452" t="s">
        <v>207</v>
      </c>
      <c r="G37" s="451" t="s">
        <v>30</v>
      </c>
      <c r="H37" s="296" t="s">
        <v>24</v>
      </c>
      <c r="I37" s="297">
        <v>8</v>
      </c>
      <c r="J37" s="297" t="s">
        <v>75</v>
      </c>
      <c r="K37" s="297">
        <v>2.27</v>
      </c>
      <c r="L37" s="452" t="s">
        <v>207</v>
      </c>
      <c r="M37" s="451" t="s">
        <v>30</v>
      </c>
      <c r="N37" s="296" t="s">
        <v>24</v>
      </c>
      <c r="O37" s="297">
        <v>8</v>
      </c>
      <c r="P37" s="297" t="s">
        <v>75</v>
      </c>
      <c r="Q37" s="297">
        <v>2.27</v>
      </c>
      <c r="R37" s="452" t="s">
        <v>207</v>
      </c>
      <c r="S37" s="451" t="s">
        <v>30</v>
      </c>
      <c r="T37" s="296" t="s">
        <v>24</v>
      </c>
      <c r="U37" s="297">
        <v>8</v>
      </c>
      <c r="V37" s="297" t="s">
        <v>75</v>
      </c>
      <c r="W37" s="297">
        <v>2.27</v>
      </c>
      <c r="X37" s="452" t="s">
        <v>207</v>
      </c>
      <c r="Y37" s="451" t="s">
        <v>30</v>
      </c>
      <c r="Z37" s="296" t="s">
        <v>24</v>
      </c>
      <c r="AA37" s="297">
        <v>8</v>
      </c>
      <c r="AB37" s="297" t="s">
        <v>75</v>
      </c>
      <c r="AC37" s="297">
        <v>2.27</v>
      </c>
      <c r="AD37" s="452" t="s">
        <v>169</v>
      </c>
      <c r="AE37" s="451" t="s">
        <v>30</v>
      </c>
      <c r="AF37" s="296" t="s">
        <v>24</v>
      </c>
      <c r="AG37" s="297">
        <v>8</v>
      </c>
      <c r="AH37" s="297" t="s">
        <v>75</v>
      </c>
      <c r="AI37" s="297">
        <v>2.27</v>
      </c>
      <c r="AJ37" s="452" t="s">
        <v>169</v>
      </c>
      <c r="AK37" s="451" t="s">
        <v>30</v>
      </c>
      <c r="AL37" s="296" t="s">
        <v>24</v>
      </c>
      <c r="AM37" s="297">
        <v>8</v>
      </c>
      <c r="AN37" s="297" t="s">
        <v>75</v>
      </c>
      <c r="AO37" s="297">
        <v>2.27</v>
      </c>
      <c r="AP37" s="452" t="s">
        <v>169</v>
      </c>
      <c r="AQ37" s="451" t="s">
        <v>30</v>
      </c>
      <c r="AR37" s="296" t="s">
        <v>24</v>
      </c>
      <c r="AS37" s="297">
        <v>8</v>
      </c>
      <c r="AT37" s="297" t="s">
        <v>75</v>
      </c>
      <c r="AU37" s="297">
        <v>2.27</v>
      </c>
      <c r="AV37" s="452" t="s">
        <v>169</v>
      </c>
      <c r="AW37" s="451" t="s">
        <v>30</v>
      </c>
      <c r="AX37" s="296" t="s">
        <v>24</v>
      </c>
      <c r="AY37" s="297"/>
      <c r="AZ37" s="297" t="s">
        <v>75</v>
      </c>
      <c r="BA37" s="297"/>
      <c r="BB37" s="452" t="s">
        <v>169</v>
      </c>
      <c r="BC37" s="451" t="s">
        <v>30</v>
      </c>
      <c r="BD37" s="296" t="s">
        <v>24</v>
      </c>
      <c r="BE37" s="297"/>
      <c r="BF37" s="297" t="s">
        <v>75</v>
      </c>
      <c r="BG37" s="297"/>
      <c r="BH37" s="452" t="s">
        <v>169</v>
      </c>
      <c r="BI37" s="451" t="s">
        <v>30</v>
      </c>
      <c r="BJ37" s="296" t="s">
        <v>24</v>
      </c>
      <c r="BK37" s="297"/>
      <c r="BL37" s="297" t="s">
        <v>75</v>
      </c>
      <c r="BM37" s="297"/>
      <c r="BN37" s="452" t="s">
        <v>169</v>
      </c>
      <c r="BO37" s="451" t="s">
        <v>30</v>
      </c>
      <c r="BP37" s="296" t="s">
        <v>24</v>
      </c>
      <c r="BQ37" s="297"/>
      <c r="BR37" s="297" t="s">
        <v>75</v>
      </c>
      <c r="BS37" s="297"/>
      <c r="BT37" s="452" t="s">
        <v>169</v>
      </c>
      <c r="BU37" s="451" t="s">
        <v>30</v>
      </c>
      <c r="BV37" s="296" t="s">
        <v>24</v>
      </c>
      <c r="BW37" s="297"/>
      <c r="BX37" s="297" t="s">
        <v>75</v>
      </c>
      <c r="BY37" s="297"/>
      <c r="BZ37" s="452" t="s">
        <v>169</v>
      </c>
      <c r="CA37" s="451" t="s">
        <v>30</v>
      </c>
      <c r="CB37" s="296" t="s">
        <v>24</v>
      </c>
      <c r="CC37" s="297"/>
      <c r="CD37" s="297" t="s">
        <v>75</v>
      </c>
      <c r="CE37" s="297"/>
      <c r="CF37" s="452" t="s">
        <v>169</v>
      </c>
      <c r="CG37" s="451" t="s">
        <v>30</v>
      </c>
      <c r="CH37" s="296" t="s">
        <v>24</v>
      </c>
      <c r="CI37" s="297">
        <v>8</v>
      </c>
      <c r="CJ37" s="297" t="s">
        <v>75</v>
      </c>
      <c r="CK37" s="297">
        <v>2.27</v>
      </c>
      <c r="CL37" s="452" t="s">
        <v>169</v>
      </c>
      <c r="CM37" s="451" t="s">
        <v>30</v>
      </c>
      <c r="CN37" s="296" t="s">
        <v>24</v>
      </c>
      <c r="CO37" s="297">
        <v>8</v>
      </c>
      <c r="CP37" s="297" t="s">
        <v>75</v>
      </c>
      <c r="CQ37" s="297">
        <v>2.27</v>
      </c>
      <c r="CR37" s="452" t="s">
        <v>169</v>
      </c>
      <c r="CS37" s="451" t="s">
        <v>30</v>
      </c>
      <c r="CT37" s="296" t="s">
        <v>24</v>
      </c>
      <c r="CU37" s="297">
        <v>8</v>
      </c>
      <c r="CV37" s="297" t="s">
        <v>75</v>
      </c>
      <c r="CW37" s="297">
        <v>2.27</v>
      </c>
      <c r="CX37" s="452" t="s">
        <v>169</v>
      </c>
      <c r="CY37" s="451" t="s">
        <v>30</v>
      </c>
      <c r="CZ37" s="296" t="s">
        <v>24</v>
      </c>
      <c r="DA37" s="297"/>
      <c r="DB37" s="297" t="s">
        <v>75</v>
      </c>
      <c r="DC37" s="297"/>
      <c r="DD37" s="452" t="s">
        <v>169</v>
      </c>
      <c r="DE37" s="451" t="s">
        <v>30</v>
      </c>
      <c r="DF37" s="296" t="s">
        <v>24</v>
      </c>
      <c r="DG37" s="297"/>
      <c r="DH37" s="297" t="s">
        <v>75</v>
      </c>
      <c r="DI37" s="297"/>
      <c r="DJ37" s="452" t="s">
        <v>169</v>
      </c>
      <c r="DK37" s="451" t="s">
        <v>30</v>
      </c>
      <c r="DL37" s="296" t="s">
        <v>24</v>
      </c>
      <c r="DM37" s="297">
        <v>1</v>
      </c>
      <c r="DN37" s="297" t="s">
        <v>75</v>
      </c>
      <c r="DO37" s="297"/>
      <c r="DP37" s="452" t="s">
        <v>169</v>
      </c>
      <c r="DQ37" s="451" t="s">
        <v>30</v>
      </c>
      <c r="DR37" s="296" t="s">
        <v>24</v>
      </c>
      <c r="DS37" s="297">
        <v>1</v>
      </c>
      <c r="DT37" s="297" t="s">
        <v>75</v>
      </c>
      <c r="DU37" s="297"/>
      <c r="DV37" s="452" t="s">
        <v>169</v>
      </c>
      <c r="DW37" s="451" t="s">
        <v>30</v>
      </c>
      <c r="DX37" s="296" t="s">
        <v>24</v>
      </c>
      <c r="DY37" s="297">
        <v>1</v>
      </c>
      <c r="DZ37" s="297" t="s">
        <v>75</v>
      </c>
      <c r="EA37" s="297"/>
      <c r="EB37" s="452" t="s">
        <v>169</v>
      </c>
      <c r="EC37" s="451" t="s">
        <v>30</v>
      </c>
      <c r="ED37" s="296" t="s">
        <v>24</v>
      </c>
      <c r="EE37" s="297">
        <v>8</v>
      </c>
      <c r="EF37" s="297" t="s">
        <v>75</v>
      </c>
      <c r="EG37" s="297">
        <v>2.27</v>
      </c>
      <c r="EH37" s="452" t="s">
        <v>169</v>
      </c>
    </row>
    <row r="38" spans="1:138" x14ac:dyDescent="0.25">
      <c r="A38" s="448"/>
      <c r="B38" s="21" t="s">
        <v>208</v>
      </c>
      <c r="C38" s="298">
        <v>26.087499999999999</v>
      </c>
      <c r="D38" s="284" t="s">
        <v>209</v>
      </c>
      <c r="E38" s="298">
        <v>0.84178010786665702</v>
      </c>
      <c r="F38" s="453"/>
      <c r="G38" s="448"/>
      <c r="H38" s="21" t="s">
        <v>208</v>
      </c>
      <c r="I38" s="298">
        <v>1.8485</v>
      </c>
      <c r="J38" s="284" t="s">
        <v>209</v>
      </c>
      <c r="K38" s="298">
        <v>1.1532562594670797E-2</v>
      </c>
      <c r="L38" s="453"/>
      <c r="M38" s="448"/>
      <c r="N38" s="21" t="s">
        <v>208</v>
      </c>
      <c r="O38" s="298">
        <v>1.4662499999999998</v>
      </c>
      <c r="P38" s="284" t="s">
        <v>209</v>
      </c>
      <c r="Q38" s="298">
        <v>1.8150413218436676E-2</v>
      </c>
      <c r="R38" s="453"/>
      <c r="S38" s="448"/>
      <c r="T38" s="21" t="s">
        <v>208</v>
      </c>
      <c r="U38" s="298">
        <v>0.91662500000000002</v>
      </c>
      <c r="V38" s="284" t="s">
        <v>209</v>
      </c>
      <c r="W38" s="298">
        <v>1.1190816547508954E-2</v>
      </c>
      <c r="X38" s="453"/>
      <c r="Y38" s="448"/>
      <c r="Z38" s="21" t="s">
        <v>208</v>
      </c>
      <c r="AA38" s="298">
        <v>2.6668750000000001</v>
      </c>
      <c r="AB38" s="284" t="s">
        <v>209</v>
      </c>
      <c r="AC38" s="298">
        <v>5.9947894041412805E-4</v>
      </c>
      <c r="AD38" s="453"/>
      <c r="AE38" s="448"/>
      <c r="AF38" s="21" t="s">
        <v>208</v>
      </c>
      <c r="AG38" s="298">
        <v>45.037500000000001</v>
      </c>
      <c r="AH38" s="284" t="s">
        <v>209</v>
      </c>
      <c r="AI38" s="298">
        <v>0.6963072238602741</v>
      </c>
      <c r="AJ38" s="453"/>
      <c r="AK38" s="448"/>
      <c r="AL38" s="21" t="s">
        <v>208</v>
      </c>
      <c r="AM38" s="298">
        <v>0.81912499999999999</v>
      </c>
      <c r="AN38" s="284" t="s">
        <v>209</v>
      </c>
      <c r="AO38" s="298">
        <v>2.303495984368106E-2</v>
      </c>
      <c r="AP38" s="453"/>
      <c r="AQ38" s="448"/>
      <c r="AR38" s="21" t="s">
        <v>208</v>
      </c>
      <c r="AS38" s="298">
        <v>84.925000000000011</v>
      </c>
      <c r="AT38" s="284" t="s">
        <v>209</v>
      </c>
      <c r="AU38" s="298">
        <v>0.73612159321676973</v>
      </c>
      <c r="AV38" s="453"/>
      <c r="AW38" s="448"/>
      <c r="AX38" s="21" t="s">
        <v>208</v>
      </c>
      <c r="AY38" s="298"/>
      <c r="AZ38" s="284" t="s">
        <v>209</v>
      </c>
      <c r="BA38" s="298"/>
      <c r="BB38" s="453"/>
      <c r="BC38" s="448"/>
      <c r="BD38" s="21" t="s">
        <v>208</v>
      </c>
      <c r="BE38" s="298"/>
      <c r="BF38" s="284" t="s">
        <v>209</v>
      </c>
      <c r="BG38" s="298"/>
      <c r="BH38" s="453"/>
      <c r="BI38" s="448"/>
      <c r="BJ38" s="21" t="s">
        <v>208</v>
      </c>
      <c r="BK38" s="298"/>
      <c r="BL38" s="284" t="s">
        <v>209</v>
      </c>
      <c r="BM38" s="298"/>
      <c r="BN38" s="453"/>
      <c r="BO38" s="448"/>
      <c r="BP38" s="21" t="s">
        <v>208</v>
      </c>
      <c r="BQ38" s="298"/>
      <c r="BR38" s="284" t="s">
        <v>209</v>
      </c>
      <c r="BS38" s="298"/>
      <c r="BT38" s="453"/>
      <c r="BU38" s="448"/>
      <c r="BV38" s="21" t="s">
        <v>208</v>
      </c>
      <c r="BW38" s="298"/>
      <c r="BX38" s="284" t="s">
        <v>209</v>
      </c>
      <c r="BY38" s="298"/>
      <c r="BZ38" s="453"/>
      <c r="CA38" s="448"/>
      <c r="CB38" s="21" t="s">
        <v>208</v>
      </c>
      <c r="CC38" s="298"/>
      <c r="CD38" s="284" t="s">
        <v>209</v>
      </c>
      <c r="CE38" s="298"/>
      <c r="CF38" s="453"/>
      <c r="CG38" s="448"/>
      <c r="CH38" s="21" t="s">
        <v>208</v>
      </c>
      <c r="CI38" s="298">
        <v>100</v>
      </c>
      <c r="CJ38" s="284" t="s">
        <v>209</v>
      </c>
      <c r="CK38" s="298">
        <v>0</v>
      </c>
      <c r="CL38" s="453"/>
      <c r="CM38" s="448"/>
      <c r="CN38" s="21" t="s">
        <v>208</v>
      </c>
      <c r="CO38" s="298">
        <v>84.625</v>
      </c>
      <c r="CP38" s="284" t="s">
        <v>209</v>
      </c>
      <c r="CQ38" s="298">
        <v>1.9324531042175384</v>
      </c>
      <c r="CR38" s="453"/>
      <c r="CS38" s="448"/>
      <c r="CT38" s="21" t="s">
        <v>208</v>
      </c>
      <c r="CU38" s="298">
        <v>16</v>
      </c>
      <c r="CV38" s="284" t="s">
        <v>209</v>
      </c>
      <c r="CW38" s="298">
        <v>2.5495097567963922</v>
      </c>
      <c r="CX38" s="453"/>
      <c r="CY38" s="448"/>
      <c r="CZ38" s="21" t="s">
        <v>208</v>
      </c>
      <c r="DA38" s="298"/>
      <c r="DB38" s="284" t="s">
        <v>209</v>
      </c>
      <c r="DC38" s="298"/>
      <c r="DD38" s="453"/>
      <c r="DE38" s="448"/>
      <c r="DF38" s="21" t="s">
        <v>208</v>
      </c>
      <c r="DG38" s="298"/>
      <c r="DH38" s="284" t="s">
        <v>209</v>
      </c>
      <c r="DI38" s="298"/>
      <c r="DJ38" s="453"/>
      <c r="DK38" s="448"/>
      <c r="DL38" s="21" t="s">
        <v>208</v>
      </c>
      <c r="DM38" s="298"/>
      <c r="DN38" s="284" t="s">
        <v>209</v>
      </c>
      <c r="DO38" s="298"/>
      <c r="DP38" s="453"/>
      <c r="DQ38" s="448"/>
      <c r="DR38" s="21" t="s">
        <v>208</v>
      </c>
      <c r="DS38" s="298"/>
      <c r="DT38" s="284" t="s">
        <v>209</v>
      </c>
      <c r="DU38" s="298"/>
      <c r="DV38" s="453"/>
      <c r="DW38" s="448"/>
      <c r="DX38" s="21" t="s">
        <v>208</v>
      </c>
      <c r="DY38" s="298"/>
      <c r="DZ38" s="284" t="s">
        <v>209</v>
      </c>
      <c r="EA38" s="298"/>
      <c r="EB38" s="453"/>
      <c r="EC38" s="448"/>
      <c r="ED38" s="21" t="s">
        <v>208</v>
      </c>
      <c r="EE38" s="298">
        <v>7</v>
      </c>
      <c r="EF38" s="284" t="s">
        <v>209</v>
      </c>
      <c r="EG38" s="298">
        <v>1.3228756555322954</v>
      </c>
      <c r="EH38" s="453"/>
    </row>
    <row r="39" spans="1:138" x14ac:dyDescent="0.25">
      <c r="A39" s="448"/>
      <c r="B39" s="21" t="s">
        <v>40</v>
      </c>
      <c r="C39" s="298">
        <v>0.89990078818246932</v>
      </c>
      <c r="D39" s="284" t="s">
        <v>210</v>
      </c>
      <c r="E39" s="298">
        <v>1.9108408448573115</v>
      </c>
      <c r="F39" s="453"/>
      <c r="G39" s="448"/>
      <c r="H39" s="21" t="s">
        <v>40</v>
      </c>
      <c r="I39" s="298">
        <v>1.2328828005937955E-2</v>
      </c>
      <c r="J39" s="284" t="s">
        <v>210</v>
      </c>
      <c r="K39" s="298">
        <v>2.617891708990271E-2</v>
      </c>
      <c r="L39" s="453"/>
      <c r="M39" s="448"/>
      <c r="N39" s="21" t="s">
        <v>40</v>
      </c>
      <c r="O39" s="298">
        <v>1.9403607911932279E-2</v>
      </c>
      <c r="P39" s="284" t="s">
        <v>210</v>
      </c>
      <c r="Q39" s="298">
        <v>4.1201438005851257E-2</v>
      </c>
      <c r="R39" s="453"/>
      <c r="S39" s="448"/>
      <c r="T39" s="21" t="s">
        <v>40</v>
      </c>
      <c r="U39" s="298">
        <v>1.1963486114005408E-2</v>
      </c>
      <c r="V39" s="284" t="s">
        <v>210</v>
      </c>
      <c r="W39" s="298">
        <v>2.5403153562845327E-2</v>
      </c>
      <c r="X39" s="453"/>
      <c r="Y39" s="448"/>
      <c r="Z39" s="21" t="s">
        <v>40</v>
      </c>
      <c r="AA39" s="298">
        <v>6.4086994446169653E-4</v>
      </c>
      <c r="AB39" s="284" t="s">
        <v>210</v>
      </c>
      <c r="AC39" s="298">
        <v>1.3608171947400707E-3</v>
      </c>
      <c r="AD39" s="453"/>
      <c r="AE39" s="448"/>
      <c r="AF39" s="21" t="s">
        <v>40</v>
      </c>
      <c r="AG39" s="298">
        <v>0.74438373360595744</v>
      </c>
      <c r="AH39" s="284" t="s">
        <v>210</v>
      </c>
      <c r="AI39" s="298">
        <v>1.5806173981628222</v>
      </c>
      <c r="AJ39" s="453"/>
      <c r="AK39" s="448"/>
      <c r="AL39" s="21" t="s">
        <v>40</v>
      </c>
      <c r="AM39" s="298">
        <v>2.46254079009001E-2</v>
      </c>
      <c r="AN39" s="284" t="s">
        <v>210</v>
      </c>
      <c r="AO39" s="298">
        <v>5.2289358845156009E-2</v>
      </c>
      <c r="AP39" s="453"/>
      <c r="AQ39" s="448"/>
      <c r="AR39" s="21" t="s">
        <v>40</v>
      </c>
      <c r="AS39" s="298">
        <v>0.78694708480666542</v>
      </c>
      <c r="AT39" s="284" t="s">
        <v>210</v>
      </c>
      <c r="AU39" s="298">
        <v>1.6709960166020672</v>
      </c>
      <c r="AV39" s="453"/>
      <c r="AW39" s="448"/>
      <c r="AX39" s="21" t="s">
        <v>40</v>
      </c>
      <c r="AY39" s="298"/>
      <c r="AZ39" s="284" t="s">
        <v>210</v>
      </c>
      <c r="BA39" s="298"/>
      <c r="BB39" s="453"/>
      <c r="BC39" s="448"/>
      <c r="BD39" s="21" t="s">
        <v>40</v>
      </c>
      <c r="BE39" s="298"/>
      <c r="BF39" s="284" t="s">
        <v>210</v>
      </c>
      <c r="BG39" s="298"/>
      <c r="BH39" s="453"/>
      <c r="BI39" s="448"/>
      <c r="BJ39" s="21" t="s">
        <v>40</v>
      </c>
      <c r="BK39" s="298"/>
      <c r="BL39" s="284" t="s">
        <v>210</v>
      </c>
      <c r="BM39" s="298"/>
      <c r="BN39" s="453"/>
      <c r="BO39" s="448"/>
      <c r="BP39" s="21" t="s">
        <v>40</v>
      </c>
      <c r="BQ39" s="298"/>
      <c r="BR39" s="284" t="s">
        <v>210</v>
      </c>
      <c r="BS39" s="298"/>
      <c r="BT39" s="453"/>
      <c r="BU39" s="448"/>
      <c r="BV39" s="21" t="s">
        <v>40</v>
      </c>
      <c r="BW39" s="298"/>
      <c r="BX39" s="284" t="s">
        <v>210</v>
      </c>
      <c r="BY39" s="298"/>
      <c r="BZ39" s="453"/>
      <c r="CA39" s="448"/>
      <c r="CB39" s="21" t="s">
        <v>40</v>
      </c>
      <c r="CC39" s="298"/>
      <c r="CD39" s="284" t="s">
        <v>210</v>
      </c>
      <c r="CE39" s="298"/>
      <c r="CF39" s="453"/>
      <c r="CG39" s="448"/>
      <c r="CH39" s="21" t="s">
        <v>40</v>
      </c>
      <c r="CI39" s="298">
        <v>0</v>
      </c>
      <c r="CJ39" s="284" t="s">
        <v>210</v>
      </c>
      <c r="CK39" s="298">
        <v>0</v>
      </c>
      <c r="CL39" s="453"/>
      <c r="CM39" s="448"/>
      <c r="CN39" s="21" t="s">
        <v>40</v>
      </c>
      <c r="CO39" s="298">
        <v>2.0658792662827961</v>
      </c>
      <c r="CP39" s="284" t="s">
        <v>210</v>
      </c>
      <c r="CQ39" s="298">
        <v>4.3866685465738122</v>
      </c>
      <c r="CR39" s="453"/>
      <c r="CS39" s="448"/>
      <c r="CT39" s="21" t="s">
        <v>40</v>
      </c>
      <c r="CU39" s="298">
        <v>2.7255405754769875</v>
      </c>
      <c r="CV39" s="284" t="s">
        <v>210</v>
      </c>
      <c r="CW39" s="298">
        <v>5.7873871479278103</v>
      </c>
      <c r="CX39" s="453"/>
      <c r="CY39" s="448"/>
      <c r="CZ39" s="21" t="s">
        <v>40</v>
      </c>
      <c r="DA39" s="298"/>
      <c r="DB39" s="284" t="s">
        <v>210</v>
      </c>
      <c r="DC39" s="298"/>
      <c r="DD39" s="453"/>
      <c r="DE39" s="448"/>
      <c r="DF39" s="21" t="s">
        <v>40</v>
      </c>
      <c r="DG39" s="298"/>
      <c r="DH39" s="284" t="s">
        <v>210</v>
      </c>
      <c r="DI39" s="298"/>
      <c r="DJ39" s="453"/>
      <c r="DK39" s="448"/>
      <c r="DL39" s="21" t="s">
        <v>40</v>
      </c>
      <c r="DM39" s="298"/>
      <c r="DN39" s="284" t="s">
        <v>210</v>
      </c>
      <c r="DO39" s="298"/>
      <c r="DP39" s="453"/>
      <c r="DQ39" s="448"/>
      <c r="DR39" s="21" t="s">
        <v>40</v>
      </c>
      <c r="DS39" s="298"/>
      <c r="DT39" s="284" t="s">
        <v>210</v>
      </c>
      <c r="DU39" s="298"/>
      <c r="DV39" s="453"/>
      <c r="DW39" s="448"/>
      <c r="DX39" s="21" t="s">
        <v>40</v>
      </c>
      <c r="DY39" s="298"/>
      <c r="DZ39" s="284" t="s">
        <v>210</v>
      </c>
      <c r="EA39" s="298"/>
      <c r="EB39" s="453"/>
      <c r="EC39" s="448"/>
      <c r="ED39" s="21" t="s">
        <v>40</v>
      </c>
      <c r="EE39" s="298">
        <v>1.4142135623730951</v>
      </c>
      <c r="EF39" s="284" t="s">
        <v>210</v>
      </c>
      <c r="EG39" s="298">
        <v>3.0029277380583106</v>
      </c>
      <c r="EH39" s="453"/>
    </row>
    <row r="40" spans="1:138" x14ac:dyDescent="0.25">
      <c r="A40" s="448"/>
      <c r="B40" s="21" t="s">
        <v>25</v>
      </c>
      <c r="C40" s="298">
        <v>3.4495478224531646E-2</v>
      </c>
      <c r="D40" s="284" t="s">
        <v>55</v>
      </c>
      <c r="E40" s="284">
        <v>0.15</v>
      </c>
      <c r="F40" s="453"/>
      <c r="G40" s="448"/>
      <c r="H40" s="21" t="s">
        <v>25</v>
      </c>
      <c r="I40" s="298">
        <v>6.6696391701043843E-3</v>
      </c>
      <c r="J40" s="284" t="s">
        <v>55</v>
      </c>
      <c r="K40" s="284">
        <v>0.05</v>
      </c>
      <c r="L40" s="453"/>
      <c r="M40" s="448"/>
      <c r="N40" s="21" t="s">
        <v>25</v>
      </c>
      <c r="O40" s="298">
        <v>1.3233492182051002E-2</v>
      </c>
      <c r="P40" s="284" t="s">
        <v>55</v>
      </c>
      <c r="Q40" s="284">
        <v>0.05</v>
      </c>
      <c r="R40" s="453"/>
      <c r="S40" s="448"/>
      <c r="T40" s="21" t="s">
        <v>25</v>
      </c>
      <c r="U40" s="298">
        <v>1.3051669018415828E-2</v>
      </c>
      <c r="V40" s="284" t="s">
        <v>55</v>
      </c>
      <c r="W40" s="284">
        <v>0.05</v>
      </c>
      <c r="X40" s="453"/>
      <c r="Y40" s="448"/>
      <c r="Z40" s="21" t="s">
        <v>25</v>
      </c>
      <c r="AA40" s="298">
        <v>2.4030745515320233E-4</v>
      </c>
      <c r="AB40" s="284" t="s">
        <v>55</v>
      </c>
      <c r="AC40" s="284"/>
      <c r="AD40" s="453"/>
      <c r="AE40" s="448"/>
      <c r="AF40" s="21" t="s">
        <v>25</v>
      </c>
      <c r="AG40" s="298">
        <v>1.652808734068182E-2</v>
      </c>
      <c r="AH40" s="284" t="s">
        <v>55</v>
      </c>
      <c r="AI40" s="284"/>
      <c r="AJ40" s="453"/>
      <c r="AK40" s="448"/>
      <c r="AL40" s="21" t="s">
        <v>25</v>
      </c>
      <c r="AM40" s="298">
        <v>3.0063064734808607E-2</v>
      </c>
      <c r="AN40" s="284" t="s">
        <v>55</v>
      </c>
      <c r="AO40" s="284"/>
      <c r="AP40" s="453"/>
      <c r="AQ40" s="448"/>
      <c r="AR40" s="21" t="s">
        <v>25</v>
      </c>
      <c r="AS40" s="298">
        <v>9.266377212913339E-3</v>
      </c>
      <c r="AT40" s="284" t="s">
        <v>55</v>
      </c>
      <c r="AU40" s="284"/>
      <c r="AV40" s="453"/>
      <c r="AW40" s="448"/>
      <c r="AX40" s="21" t="s">
        <v>25</v>
      </c>
      <c r="AY40" s="298"/>
      <c r="AZ40" s="284" t="s">
        <v>55</v>
      </c>
      <c r="BA40" s="284">
        <v>0.3</v>
      </c>
      <c r="BB40" s="453"/>
      <c r="BC40" s="448"/>
      <c r="BD40" s="21" t="s">
        <v>25</v>
      </c>
      <c r="BE40" s="298"/>
      <c r="BF40" s="284" t="s">
        <v>55</v>
      </c>
      <c r="BG40" s="284">
        <v>0.3</v>
      </c>
      <c r="BH40" s="453"/>
      <c r="BI40" s="448"/>
      <c r="BJ40" s="21" t="s">
        <v>25</v>
      </c>
      <c r="BK40" s="298"/>
      <c r="BL40" s="284" t="s">
        <v>55</v>
      </c>
      <c r="BM40" s="284">
        <v>0.3</v>
      </c>
      <c r="BN40" s="453"/>
      <c r="BO40" s="448"/>
      <c r="BP40" s="21" t="s">
        <v>25</v>
      </c>
      <c r="BQ40" s="298"/>
      <c r="BR40" s="284" t="s">
        <v>55</v>
      </c>
      <c r="BS40" s="284"/>
      <c r="BT40" s="453"/>
      <c r="BU40" s="448"/>
      <c r="BV40" s="21" t="s">
        <v>25</v>
      </c>
      <c r="BW40" s="298"/>
      <c r="BX40" s="284" t="s">
        <v>55</v>
      </c>
      <c r="BY40" s="284"/>
      <c r="BZ40" s="453"/>
      <c r="CA40" s="448"/>
      <c r="CB40" s="21" t="s">
        <v>25</v>
      </c>
      <c r="CC40" s="298"/>
      <c r="CD40" s="284" t="s">
        <v>55</v>
      </c>
      <c r="CE40" s="284"/>
      <c r="CF40" s="453"/>
      <c r="CG40" s="448"/>
      <c r="CH40" s="21" t="s">
        <v>25</v>
      </c>
      <c r="CI40" s="298">
        <v>0</v>
      </c>
      <c r="CJ40" s="284" t="s">
        <v>55</v>
      </c>
      <c r="CK40" s="284"/>
      <c r="CL40" s="453"/>
      <c r="CM40" s="448"/>
      <c r="CN40" s="21" t="s">
        <v>25</v>
      </c>
      <c r="CO40" s="298">
        <v>2.4412162673947368E-2</v>
      </c>
      <c r="CP40" s="284" t="s">
        <v>55</v>
      </c>
      <c r="CQ40" s="284"/>
      <c r="CR40" s="453"/>
      <c r="CS40" s="448"/>
      <c r="CT40" s="21" t="s">
        <v>25</v>
      </c>
      <c r="CU40" s="298">
        <v>0.17034628596731172</v>
      </c>
      <c r="CV40" s="284" t="s">
        <v>55</v>
      </c>
      <c r="CW40" s="284"/>
      <c r="CX40" s="453"/>
      <c r="CY40" s="448"/>
      <c r="CZ40" s="21" t="s">
        <v>25</v>
      </c>
      <c r="DA40" s="298"/>
      <c r="DB40" s="284" t="s">
        <v>55</v>
      </c>
      <c r="DC40" s="284"/>
      <c r="DD40" s="453"/>
      <c r="DE40" s="448"/>
      <c r="DF40" s="21" t="s">
        <v>25</v>
      </c>
      <c r="DG40" s="298"/>
      <c r="DH40" s="284" t="s">
        <v>55</v>
      </c>
      <c r="DI40" s="284">
        <v>0.4</v>
      </c>
      <c r="DJ40" s="453"/>
      <c r="DK40" s="448"/>
      <c r="DL40" s="21" t="s">
        <v>25</v>
      </c>
      <c r="DM40" s="298"/>
      <c r="DN40" s="284" t="s">
        <v>55</v>
      </c>
      <c r="DO40" s="284"/>
      <c r="DP40" s="453"/>
      <c r="DQ40" s="448"/>
      <c r="DR40" s="21" t="s">
        <v>25</v>
      </c>
      <c r="DS40" s="298"/>
      <c r="DT40" s="284" t="s">
        <v>55</v>
      </c>
      <c r="DU40" s="284"/>
      <c r="DV40" s="453"/>
      <c r="DW40" s="448"/>
      <c r="DX40" s="21" t="s">
        <v>25</v>
      </c>
      <c r="DY40" s="298"/>
      <c r="DZ40" s="284" t="s">
        <v>55</v>
      </c>
      <c r="EA40" s="284">
        <v>0.3</v>
      </c>
      <c r="EB40" s="453"/>
      <c r="EC40" s="448"/>
      <c r="ED40" s="21" t="s">
        <v>25</v>
      </c>
      <c r="EE40" s="298">
        <v>0.20203050891044216</v>
      </c>
      <c r="EF40" s="284" t="s">
        <v>55</v>
      </c>
      <c r="EG40" s="284"/>
      <c r="EH40" s="453"/>
    </row>
    <row r="41" spans="1:138" ht="30" x14ac:dyDescent="0.25">
      <c r="A41" s="299" t="s">
        <v>31</v>
      </c>
      <c r="B41" s="21" t="s">
        <v>163</v>
      </c>
      <c r="C41" s="454">
        <v>26.087499999999999</v>
      </c>
      <c r="D41" s="447"/>
      <c r="E41" s="447"/>
      <c r="F41" s="290"/>
      <c r="G41" s="299" t="s">
        <v>31</v>
      </c>
      <c r="H41" s="21" t="s">
        <v>163</v>
      </c>
      <c r="I41" s="454">
        <v>1.8485</v>
      </c>
      <c r="J41" s="447"/>
      <c r="K41" s="447"/>
      <c r="L41" s="290"/>
      <c r="M41" s="299" t="s">
        <v>31</v>
      </c>
      <c r="N41" s="21" t="s">
        <v>163</v>
      </c>
      <c r="O41" s="454">
        <v>1.4662499999999998</v>
      </c>
      <c r="P41" s="447"/>
      <c r="Q41" s="447"/>
      <c r="R41" s="290"/>
      <c r="S41" s="299" t="s">
        <v>31</v>
      </c>
      <c r="T41" s="21" t="s">
        <v>163</v>
      </c>
      <c r="U41" s="454">
        <v>0.91662500000000002</v>
      </c>
      <c r="V41" s="447"/>
      <c r="W41" s="447"/>
      <c r="X41" s="290"/>
      <c r="Y41" s="299" t="s">
        <v>31</v>
      </c>
      <c r="Z41" s="21" t="s">
        <v>163</v>
      </c>
      <c r="AA41" s="454">
        <v>2.6668750000000001</v>
      </c>
      <c r="AB41" s="447"/>
      <c r="AC41" s="447"/>
      <c r="AD41" s="290"/>
      <c r="AE41" s="299" t="s">
        <v>31</v>
      </c>
      <c r="AF41" s="21" t="s">
        <v>163</v>
      </c>
      <c r="AG41" s="454">
        <v>45.037500000000001</v>
      </c>
      <c r="AH41" s="447"/>
      <c r="AI41" s="447"/>
      <c r="AJ41" s="290"/>
      <c r="AK41" s="299" t="s">
        <v>31</v>
      </c>
      <c r="AL41" s="21" t="s">
        <v>163</v>
      </c>
      <c r="AM41" s="454">
        <v>0.81912499999999999</v>
      </c>
      <c r="AN41" s="447"/>
      <c r="AO41" s="447"/>
      <c r="AP41" s="290"/>
      <c r="AQ41" s="299" t="s">
        <v>31</v>
      </c>
      <c r="AR41" s="21" t="s">
        <v>163</v>
      </c>
      <c r="AS41" s="454">
        <v>84.925000000000011</v>
      </c>
      <c r="AT41" s="447"/>
      <c r="AU41" s="447"/>
      <c r="AV41" s="290"/>
      <c r="AW41" s="299" t="s">
        <v>31</v>
      </c>
      <c r="AX41" s="21" t="s">
        <v>163</v>
      </c>
      <c r="AY41" s="454">
        <v>0</v>
      </c>
      <c r="AZ41" s="447"/>
      <c r="BA41" s="447"/>
      <c r="BB41" s="290"/>
      <c r="BC41" s="299" t="s">
        <v>31</v>
      </c>
      <c r="BD41" s="21" t="s">
        <v>163</v>
      </c>
      <c r="BE41" s="454">
        <v>0</v>
      </c>
      <c r="BF41" s="447"/>
      <c r="BG41" s="447"/>
      <c r="BH41" s="290"/>
      <c r="BI41" s="299" t="s">
        <v>31</v>
      </c>
      <c r="BJ41" s="21" t="s">
        <v>163</v>
      </c>
      <c r="BK41" s="454">
        <v>0</v>
      </c>
      <c r="BL41" s="447"/>
      <c r="BM41" s="447"/>
      <c r="BN41" s="290"/>
      <c r="BO41" s="299" t="s">
        <v>31</v>
      </c>
      <c r="BP41" s="21" t="s">
        <v>163</v>
      </c>
      <c r="BQ41" s="454">
        <v>0</v>
      </c>
      <c r="BR41" s="447"/>
      <c r="BS41" s="447"/>
      <c r="BT41" s="290"/>
      <c r="BU41" s="299" t="s">
        <v>31</v>
      </c>
      <c r="BV41" s="21" t="s">
        <v>163</v>
      </c>
      <c r="BW41" s="454">
        <v>0</v>
      </c>
      <c r="BX41" s="447"/>
      <c r="BY41" s="447"/>
      <c r="BZ41" s="290"/>
      <c r="CA41" s="299" t="s">
        <v>31</v>
      </c>
      <c r="CB41" s="21" t="s">
        <v>163</v>
      </c>
      <c r="CC41" s="454">
        <v>0</v>
      </c>
      <c r="CD41" s="447"/>
      <c r="CE41" s="447"/>
      <c r="CF41" s="290"/>
      <c r="CG41" s="299" t="s">
        <v>31</v>
      </c>
      <c r="CH41" s="21" t="s">
        <v>163</v>
      </c>
      <c r="CI41" s="454">
        <v>100</v>
      </c>
      <c r="CJ41" s="447"/>
      <c r="CK41" s="447"/>
      <c r="CL41" s="290"/>
      <c r="CM41" s="299" t="s">
        <v>31</v>
      </c>
      <c r="CN41" s="21" t="s">
        <v>163</v>
      </c>
      <c r="CO41" s="454">
        <v>84.625</v>
      </c>
      <c r="CP41" s="447"/>
      <c r="CQ41" s="447"/>
      <c r="CR41" s="290"/>
      <c r="CS41" s="299" t="s">
        <v>31</v>
      </c>
      <c r="CT41" s="21" t="s">
        <v>163</v>
      </c>
      <c r="CU41" s="454">
        <v>16</v>
      </c>
      <c r="CV41" s="447"/>
      <c r="CW41" s="447"/>
      <c r="CX41" s="290"/>
      <c r="CY41" s="299" t="s">
        <v>31</v>
      </c>
      <c r="CZ41" s="21" t="s">
        <v>163</v>
      </c>
      <c r="DA41" s="454">
        <v>0</v>
      </c>
      <c r="DB41" s="447"/>
      <c r="DC41" s="447"/>
      <c r="DD41" s="290"/>
      <c r="DE41" s="299" t="s">
        <v>31</v>
      </c>
      <c r="DF41" s="21" t="s">
        <v>163</v>
      </c>
      <c r="DG41" s="454">
        <v>0</v>
      </c>
      <c r="DH41" s="447"/>
      <c r="DI41" s="447"/>
      <c r="DJ41" s="290"/>
      <c r="DK41" s="299" t="s">
        <v>31</v>
      </c>
      <c r="DL41" s="21" t="s">
        <v>163</v>
      </c>
      <c r="DM41" s="454">
        <v>0</v>
      </c>
      <c r="DN41" s="447"/>
      <c r="DO41" s="447"/>
      <c r="DP41" s="290"/>
      <c r="DQ41" s="299" t="s">
        <v>31</v>
      </c>
      <c r="DR41" s="21" t="s">
        <v>163</v>
      </c>
      <c r="DS41" s="454">
        <v>0</v>
      </c>
      <c r="DT41" s="447"/>
      <c r="DU41" s="447"/>
      <c r="DV41" s="290"/>
      <c r="DW41" s="299" t="s">
        <v>31</v>
      </c>
      <c r="DX41" s="21" t="s">
        <v>163</v>
      </c>
      <c r="DY41" s="454">
        <v>0</v>
      </c>
      <c r="DZ41" s="447"/>
      <c r="EA41" s="447"/>
      <c r="EB41" s="290"/>
      <c r="EC41" s="299" t="s">
        <v>31</v>
      </c>
      <c r="ED41" s="21" t="s">
        <v>163</v>
      </c>
      <c r="EE41" s="454">
        <v>7</v>
      </c>
      <c r="EF41" s="447"/>
      <c r="EG41" s="447"/>
      <c r="EH41" s="290"/>
    </row>
    <row r="42" spans="1:138" ht="15" customHeight="1" x14ac:dyDescent="0.25">
      <c r="A42" s="448" t="s">
        <v>140</v>
      </c>
      <c r="B42" s="455" t="s">
        <v>72</v>
      </c>
      <c r="C42" s="450"/>
      <c r="D42" s="447" t="s">
        <v>73</v>
      </c>
      <c r="E42" s="447"/>
      <c r="F42" s="445"/>
      <c r="G42" s="448" t="s">
        <v>140</v>
      </c>
      <c r="H42" s="455" t="s">
        <v>72</v>
      </c>
      <c r="I42" s="450"/>
      <c r="J42" s="447" t="s">
        <v>73</v>
      </c>
      <c r="K42" s="447"/>
      <c r="L42" s="445"/>
      <c r="M42" s="448" t="s">
        <v>140</v>
      </c>
      <c r="N42" s="455" t="s">
        <v>72</v>
      </c>
      <c r="O42" s="450"/>
      <c r="P42" s="447" t="s">
        <v>73</v>
      </c>
      <c r="Q42" s="447"/>
      <c r="R42" s="445"/>
      <c r="S42" s="448" t="s">
        <v>140</v>
      </c>
      <c r="T42" s="455" t="s">
        <v>72</v>
      </c>
      <c r="U42" s="450"/>
      <c r="V42" s="447" t="s">
        <v>73</v>
      </c>
      <c r="W42" s="447"/>
      <c r="X42" s="445"/>
      <c r="Y42" s="448" t="s">
        <v>140</v>
      </c>
      <c r="Z42" s="455" t="s">
        <v>72</v>
      </c>
      <c r="AA42" s="450"/>
      <c r="AB42" s="447" t="s">
        <v>73</v>
      </c>
      <c r="AC42" s="447"/>
      <c r="AD42" s="445"/>
      <c r="AE42" s="448" t="s">
        <v>140</v>
      </c>
      <c r="AF42" s="455" t="s">
        <v>72</v>
      </c>
      <c r="AG42" s="450"/>
      <c r="AH42" s="447" t="s">
        <v>73</v>
      </c>
      <c r="AI42" s="447"/>
      <c r="AJ42" s="445"/>
      <c r="AK42" s="448" t="s">
        <v>140</v>
      </c>
      <c r="AL42" s="455" t="s">
        <v>72</v>
      </c>
      <c r="AM42" s="450"/>
      <c r="AN42" s="447" t="s">
        <v>73</v>
      </c>
      <c r="AO42" s="447"/>
      <c r="AP42" s="445"/>
      <c r="AQ42" s="448" t="s">
        <v>140</v>
      </c>
      <c r="AR42" s="455" t="s">
        <v>72</v>
      </c>
      <c r="AS42" s="450"/>
      <c r="AT42" s="447" t="s">
        <v>73</v>
      </c>
      <c r="AU42" s="447"/>
      <c r="AV42" s="445"/>
      <c r="AW42" s="448" t="s">
        <v>140</v>
      </c>
      <c r="AX42" s="455" t="s">
        <v>72</v>
      </c>
      <c r="AY42" s="450"/>
      <c r="AZ42" s="447" t="s">
        <v>73</v>
      </c>
      <c r="BA42" s="447"/>
      <c r="BB42" s="445"/>
      <c r="BC42" s="448" t="s">
        <v>140</v>
      </c>
      <c r="BD42" s="455" t="s">
        <v>72</v>
      </c>
      <c r="BE42" s="450"/>
      <c r="BF42" s="447" t="s">
        <v>73</v>
      </c>
      <c r="BG42" s="447"/>
      <c r="BH42" s="445"/>
      <c r="BI42" s="448" t="s">
        <v>140</v>
      </c>
      <c r="BJ42" s="455" t="s">
        <v>72</v>
      </c>
      <c r="BK42" s="450"/>
      <c r="BL42" s="447" t="s">
        <v>73</v>
      </c>
      <c r="BM42" s="447"/>
      <c r="BN42" s="445"/>
      <c r="BO42" s="448" t="s">
        <v>140</v>
      </c>
      <c r="BP42" s="455" t="s">
        <v>72</v>
      </c>
      <c r="BQ42" s="450"/>
      <c r="BR42" s="447" t="s">
        <v>73</v>
      </c>
      <c r="BS42" s="447"/>
      <c r="BT42" s="445"/>
      <c r="BU42" s="448" t="s">
        <v>140</v>
      </c>
      <c r="BV42" s="455" t="s">
        <v>72</v>
      </c>
      <c r="BW42" s="450"/>
      <c r="BX42" s="447" t="s">
        <v>73</v>
      </c>
      <c r="BY42" s="447"/>
      <c r="BZ42" s="445"/>
      <c r="CA42" s="448" t="s">
        <v>140</v>
      </c>
      <c r="CB42" s="455" t="s">
        <v>72</v>
      </c>
      <c r="CC42" s="450"/>
      <c r="CD42" s="447" t="s">
        <v>73</v>
      </c>
      <c r="CE42" s="447"/>
      <c r="CF42" s="445"/>
      <c r="CG42" s="448" t="s">
        <v>140</v>
      </c>
      <c r="CH42" s="455" t="s">
        <v>72</v>
      </c>
      <c r="CI42" s="450"/>
      <c r="CJ42" s="447" t="s">
        <v>73</v>
      </c>
      <c r="CK42" s="447"/>
      <c r="CL42" s="445"/>
      <c r="CM42" s="448" t="s">
        <v>140</v>
      </c>
      <c r="CN42" s="455" t="s">
        <v>72</v>
      </c>
      <c r="CO42" s="450"/>
      <c r="CP42" s="447" t="s">
        <v>73</v>
      </c>
      <c r="CQ42" s="447"/>
      <c r="CR42" s="445"/>
      <c r="CS42" s="448" t="s">
        <v>140</v>
      </c>
      <c r="CT42" s="455" t="s">
        <v>72</v>
      </c>
      <c r="CU42" s="450"/>
      <c r="CV42" s="447" t="s">
        <v>73</v>
      </c>
      <c r="CW42" s="447"/>
      <c r="CX42" s="445"/>
      <c r="CY42" s="448" t="s">
        <v>140</v>
      </c>
      <c r="CZ42" s="455" t="s">
        <v>72</v>
      </c>
      <c r="DA42" s="450"/>
      <c r="DB42" s="447" t="s">
        <v>73</v>
      </c>
      <c r="DC42" s="447"/>
      <c r="DD42" s="445"/>
      <c r="DE42" s="448" t="s">
        <v>140</v>
      </c>
      <c r="DF42" s="455" t="s">
        <v>72</v>
      </c>
      <c r="DG42" s="450"/>
      <c r="DH42" s="447" t="s">
        <v>73</v>
      </c>
      <c r="DI42" s="447"/>
      <c r="DJ42" s="445"/>
      <c r="DK42" s="448" t="s">
        <v>140</v>
      </c>
      <c r="DL42" s="455" t="s">
        <v>72</v>
      </c>
      <c r="DM42" s="450"/>
      <c r="DN42" s="447" t="s">
        <v>73</v>
      </c>
      <c r="DO42" s="447"/>
      <c r="DP42" s="445"/>
      <c r="DQ42" s="448" t="s">
        <v>140</v>
      </c>
      <c r="DR42" s="455" t="s">
        <v>72</v>
      </c>
      <c r="DS42" s="450"/>
      <c r="DT42" s="447" t="s">
        <v>73</v>
      </c>
      <c r="DU42" s="447"/>
      <c r="DV42" s="445"/>
      <c r="DW42" s="448" t="s">
        <v>140</v>
      </c>
      <c r="DX42" s="455" t="s">
        <v>72</v>
      </c>
      <c r="DY42" s="450"/>
      <c r="DZ42" s="447" t="s">
        <v>73</v>
      </c>
      <c r="EA42" s="447"/>
      <c r="EB42" s="445"/>
      <c r="EC42" s="448" t="s">
        <v>140</v>
      </c>
      <c r="ED42" s="455" t="s">
        <v>72</v>
      </c>
      <c r="EE42" s="450"/>
      <c r="EF42" s="447" t="s">
        <v>73</v>
      </c>
      <c r="EG42" s="447"/>
      <c r="EH42" s="445"/>
    </row>
    <row r="43" spans="1:138" x14ac:dyDescent="0.25">
      <c r="A43" s="448"/>
      <c r="B43" s="21" t="s">
        <v>62</v>
      </c>
      <c r="C43" s="284">
        <v>0.95</v>
      </c>
      <c r="D43" s="284" t="s">
        <v>62</v>
      </c>
      <c r="E43" s="284">
        <v>0.85</v>
      </c>
      <c r="F43" s="445"/>
      <c r="G43" s="448"/>
      <c r="H43" s="21" t="s">
        <v>62</v>
      </c>
      <c r="I43" s="284">
        <v>0.95</v>
      </c>
      <c r="J43" s="284" t="s">
        <v>62</v>
      </c>
      <c r="K43" s="284">
        <v>0.85</v>
      </c>
      <c r="L43" s="445"/>
      <c r="M43" s="448"/>
      <c r="N43" s="21" t="s">
        <v>62</v>
      </c>
      <c r="O43" s="284">
        <v>0.95</v>
      </c>
      <c r="P43" s="284" t="s">
        <v>62</v>
      </c>
      <c r="Q43" s="284">
        <v>0.85</v>
      </c>
      <c r="R43" s="445"/>
      <c r="S43" s="448"/>
      <c r="T43" s="21" t="s">
        <v>62</v>
      </c>
      <c r="U43" s="284">
        <v>0.95</v>
      </c>
      <c r="V43" s="284" t="s">
        <v>62</v>
      </c>
      <c r="W43" s="284">
        <v>0.85</v>
      </c>
      <c r="X43" s="445"/>
      <c r="Y43" s="448"/>
      <c r="Z43" s="21" t="s">
        <v>62</v>
      </c>
      <c r="AA43" s="284">
        <v>0.95</v>
      </c>
      <c r="AB43" s="284" t="s">
        <v>62</v>
      </c>
      <c r="AC43" s="284">
        <v>0.85</v>
      </c>
      <c r="AD43" s="445"/>
      <c r="AE43" s="448"/>
      <c r="AF43" s="21" t="s">
        <v>62</v>
      </c>
      <c r="AG43" s="284">
        <v>0.95</v>
      </c>
      <c r="AH43" s="284" t="s">
        <v>62</v>
      </c>
      <c r="AI43" s="284">
        <v>0.85</v>
      </c>
      <c r="AJ43" s="445"/>
      <c r="AK43" s="448"/>
      <c r="AL43" s="21" t="s">
        <v>62</v>
      </c>
      <c r="AM43" s="284">
        <v>0.95</v>
      </c>
      <c r="AN43" s="284" t="s">
        <v>62</v>
      </c>
      <c r="AO43" s="284">
        <v>0.85</v>
      </c>
      <c r="AP43" s="445"/>
      <c r="AQ43" s="448"/>
      <c r="AR43" s="21" t="s">
        <v>62</v>
      </c>
      <c r="AS43" s="284">
        <v>0.95</v>
      </c>
      <c r="AT43" s="284" t="s">
        <v>62</v>
      </c>
      <c r="AU43" s="284">
        <v>0.85</v>
      </c>
      <c r="AV43" s="445"/>
      <c r="AW43" s="448"/>
      <c r="AX43" s="21" t="s">
        <v>62</v>
      </c>
      <c r="AY43" s="284"/>
      <c r="AZ43" s="284" t="s">
        <v>62</v>
      </c>
      <c r="BA43" s="284"/>
      <c r="BB43" s="445"/>
      <c r="BC43" s="448"/>
      <c r="BD43" s="21" t="s">
        <v>62</v>
      </c>
      <c r="BE43" s="284"/>
      <c r="BF43" s="284" t="s">
        <v>62</v>
      </c>
      <c r="BG43" s="284"/>
      <c r="BH43" s="445"/>
      <c r="BI43" s="448"/>
      <c r="BJ43" s="21" t="s">
        <v>62</v>
      </c>
      <c r="BK43" s="284"/>
      <c r="BL43" s="284" t="s">
        <v>62</v>
      </c>
      <c r="BM43" s="284"/>
      <c r="BN43" s="445"/>
      <c r="BO43" s="448"/>
      <c r="BP43" s="21" t="s">
        <v>62</v>
      </c>
      <c r="BQ43" s="284"/>
      <c r="BR43" s="284" t="s">
        <v>62</v>
      </c>
      <c r="BS43" s="284"/>
      <c r="BT43" s="445"/>
      <c r="BU43" s="448"/>
      <c r="BV43" s="21" t="s">
        <v>62</v>
      </c>
      <c r="BW43" s="284"/>
      <c r="BX43" s="284" t="s">
        <v>62</v>
      </c>
      <c r="BY43" s="284"/>
      <c r="BZ43" s="445"/>
      <c r="CA43" s="448"/>
      <c r="CB43" s="21" t="s">
        <v>62</v>
      </c>
      <c r="CC43" s="284"/>
      <c r="CD43" s="284" t="s">
        <v>62</v>
      </c>
      <c r="CE43" s="284"/>
      <c r="CF43" s="445"/>
      <c r="CG43" s="448"/>
      <c r="CH43" s="21" t="s">
        <v>62</v>
      </c>
      <c r="CI43" s="284">
        <v>0.95</v>
      </c>
      <c r="CJ43" s="284" t="s">
        <v>62</v>
      </c>
      <c r="CK43" s="284">
        <v>0.85</v>
      </c>
      <c r="CL43" s="445"/>
      <c r="CM43" s="448"/>
      <c r="CN43" s="21" t="s">
        <v>62</v>
      </c>
      <c r="CO43" s="284">
        <v>0.95</v>
      </c>
      <c r="CP43" s="284" t="s">
        <v>62</v>
      </c>
      <c r="CQ43" s="284">
        <v>0.85</v>
      </c>
      <c r="CR43" s="445"/>
      <c r="CS43" s="448"/>
      <c r="CT43" s="21" t="s">
        <v>62</v>
      </c>
      <c r="CU43" s="284">
        <v>0.95</v>
      </c>
      <c r="CV43" s="284" t="s">
        <v>62</v>
      </c>
      <c r="CW43" s="284">
        <v>0.85</v>
      </c>
      <c r="CX43" s="445"/>
      <c r="CY43" s="448"/>
      <c r="CZ43" s="21" t="s">
        <v>62</v>
      </c>
      <c r="DA43" s="284"/>
      <c r="DB43" s="284" t="s">
        <v>62</v>
      </c>
      <c r="DC43" s="284"/>
      <c r="DD43" s="445"/>
      <c r="DE43" s="448"/>
      <c r="DF43" s="21" t="s">
        <v>62</v>
      </c>
      <c r="DG43" s="284"/>
      <c r="DH43" s="284" t="s">
        <v>62</v>
      </c>
      <c r="DI43" s="284"/>
      <c r="DJ43" s="445"/>
      <c r="DK43" s="448"/>
      <c r="DL43" s="21" t="s">
        <v>62</v>
      </c>
      <c r="DM43" s="284"/>
      <c r="DN43" s="284" t="s">
        <v>62</v>
      </c>
      <c r="DO43" s="284"/>
      <c r="DP43" s="445"/>
      <c r="DQ43" s="448"/>
      <c r="DR43" s="21" t="s">
        <v>62</v>
      </c>
      <c r="DS43" s="284"/>
      <c r="DT43" s="284" t="s">
        <v>62</v>
      </c>
      <c r="DU43" s="284"/>
      <c r="DV43" s="445"/>
      <c r="DW43" s="448"/>
      <c r="DX43" s="21" t="s">
        <v>62</v>
      </c>
      <c r="DY43" s="284"/>
      <c r="DZ43" s="284" t="s">
        <v>62</v>
      </c>
      <c r="EA43" s="284"/>
      <c r="EB43" s="445"/>
      <c r="EC43" s="448"/>
      <c r="ED43" s="21" t="s">
        <v>62</v>
      </c>
      <c r="EE43" s="284">
        <v>0.95</v>
      </c>
      <c r="EF43" s="284" t="s">
        <v>62</v>
      </c>
      <c r="EG43" s="284">
        <v>0.85</v>
      </c>
      <c r="EH43" s="445"/>
    </row>
    <row r="44" spans="1:138" x14ac:dyDescent="0.25">
      <c r="A44" s="448"/>
      <c r="B44" s="21" t="s">
        <v>211</v>
      </c>
      <c r="C44" s="284">
        <v>1.9</v>
      </c>
      <c r="D44" s="284" t="s">
        <v>211</v>
      </c>
      <c r="E44" s="284">
        <v>1.1200000000000001</v>
      </c>
      <c r="F44" s="445"/>
      <c r="G44" s="448"/>
      <c r="H44" s="21" t="s">
        <v>211</v>
      </c>
      <c r="I44" s="284">
        <v>1.9</v>
      </c>
      <c r="J44" s="284" t="s">
        <v>211</v>
      </c>
      <c r="K44" s="284">
        <v>1.1200000000000001</v>
      </c>
      <c r="L44" s="445"/>
      <c r="M44" s="448"/>
      <c r="N44" s="21" t="s">
        <v>211</v>
      </c>
      <c r="O44" s="284">
        <v>1.9</v>
      </c>
      <c r="P44" s="284" t="s">
        <v>211</v>
      </c>
      <c r="Q44" s="284">
        <v>1.1200000000000001</v>
      </c>
      <c r="R44" s="445"/>
      <c r="S44" s="448"/>
      <c r="T44" s="21" t="s">
        <v>211</v>
      </c>
      <c r="U44" s="284">
        <v>1.9</v>
      </c>
      <c r="V44" s="284" t="s">
        <v>211</v>
      </c>
      <c r="W44" s="284">
        <v>1.1200000000000001</v>
      </c>
      <c r="X44" s="445"/>
      <c r="Y44" s="448"/>
      <c r="Z44" s="21" t="s">
        <v>211</v>
      </c>
      <c r="AA44" s="284">
        <v>1.9</v>
      </c>
      <c r="AB44" s="284" t="s">
        <v>211</v>
      </c>
      <c r="AC44" s="284">
        <v>1.1200000000000001</v>
      </c>
      <c r="AD44" s="445"/>
      <c r="AE44" s="448"/>
      <c r="AF44" s="21" t="s">
        <v>211</v>
      </c>
      <c r="AG44" s="284">
        <v>1.9</v>
      </c>
      <c r="AH44" s="284" t="s">
        <v>211</v>
      </c>
      <c r="AI44" s="284">
        <v>1.1200000000000001</v>
      </c>
      <c r="AJ44" s="445"/>
      <c r="AK44" s="448"/>
      <c r="AL44" s="21" t="s">
        <v>211</v>
      </c>
      <c r="AM44" s="284">
        <v>1.9</v>
      </c>
      <c r="AN44" s="284" t="s">
        <v>211</v>
      </c>
      <c r="AO44" s="284">
        <v>1.1200000000000001</v>
      </c>
      <c r="AP44" s="445"/>
      <c r="AQ44" s="448"/>
      <c r="AR44" s="21" t="s">
        <v>211</v>
      </c>
      <c r="AS44" s="284">
        <v>1.9</v>
      </c>
      <c r="AT44" s="284" t="s">
        <v>211</v>
      </c>
      <c r="AU44" s="284">
        <v>1.1200000000000001</v>
      </c>
      <c r="AV44" s="445"/>
      <c r="AW44" s="448"/>
      <c r="AX44" s="21" t="s">
        <v>211</v>
      </c>
      <c r="AY44" s="284"/>
      <c r="AZ44" s="284" t="s">
        <v>211</v>
      </c>
      <c r="BA44" s="284"/>
      <c r="BB44" s="445"/>
      <c r="BC44" s="448"/>
      <c r="BD44" s="21" t="s">
        <v>211</v>
      </c>
      <c r="BE44" s="284"/>
      <c r="BF44" s="284" t="s">
        <v>211</v>
      </c>
      <c r="BG44" s="284"/>
      <c r="BH44" s="445"/>
      <c r="BI44" s="448"/>
      <c r="BJ44" s="21" t="s">
        <v>211</v>
      </c>
      <c r="BK44" s="284"/>
      <c r="BL44" s="284" t="s">
        <v>211</v>
      </c>
      <c r="BM44" s="284"/>
      <c r="BN44" s="445"/>
      <c r="BO44" s="448"/>
      <c r="BP44" s="21" t="s">
        <v>211</v>
      </c>
      <c r="BQ44" s="284"/>
      <c r="BR44" s="284" t="s">
        <v>211</v>
      </c>
      <c r="BS44" s="284"/>
      <c r="BT44" s="445"/>
      <c r="BU44" s="448"/>
      <c r="BV44" s="21" t="s">
        <v>211</v>
      </c>
      <c r="BW44" s="284"/>
      <c r="BX44" s="284" t="s">
        <v>211</v>
      </c>
      <c r="BY44" s="284"/>
      <c r="BZ44" s="445"/>
      <c r="CA44" s="448"/>
      <c r="CB44" s="21" t="s">
        <v>211</v>
      </c>
      <c r="CC44" s="284"/>
      <c r="CD44" s="284" t="s">
        <v>211</v>
      </c>
      <c r="CE44" s="284"/>
      <c r="CF44" s="445"/>
      <c r="CG44" s="448"/>
      <c r="CH44" s="21" t="s">
        <v>211</v>
      </c>
      <c r="CI44" s="284">
        <v>1.9</v>
      </c>
      <c r="CJ44" s="284" t="s">
        <v>211</v>
      </c>
      <c r="CK44" s="284">
        <v>1.1200000000000001</v>
      </c>
      <c r="CL44" s="445"/>
      <c r="CM44" s="448"/>
      <c r="CN44" s="21" t="s">
        <v>211</v>
      </c>
      <c r="CO44" s="284">
        <v>1.9</v>
      </c>
      <c r="CP44" s="284" t="s">
        <v>211</v>
      </c>
      <c r="CQ44" s="284">
        <v>1.1200000000000001</v>
      </c>
      <c r="CR44" s="445"/>
      <c r="CS44" s="448"/>
      <c r="CT44" s="21" t="s">
        <v>211</v>
      </c>
      <c r="CU44" s="284">
        <v>1.9</v>
      </c>
      <c r="CV44" s="284" t="s">
        <v>211</v>
      </c>
      <c r="CW44" s="284">
        <v>1.1200000000000001</v>
      </c>
      <c r="CX44" s="445"/>
      <c r="CY44" s="448"/>
      <c r="CZ44" s="21" t="s">
        <v>211</v>
      </c>
      <c r="DA44" s="284"/>
      <c r="DB44" s="284" t="s">
        <v>211</v>
      </c>
      <c r="DC44" s="284"/>
      <c r="DD44" s="445"/>
      <c r="DE44" s="448"/>
      <c r="DF44" s="21" t="s">
        <v>211</v>
      </c>
      <c r="DG44" s="284"/>
      <c r="DH44" s="284" t="s">
        <v>211</v>
      </c>
      <c r="DI44" s="284"/>
      <c r="DJ44" s="445"/>
      <c r="DK44" s="448"/>
      <c r="DL44" s="21" t="s">
        <v>211</v>
      </c>
      <c r="DM44" s="284"/>
      <c r="DN44" s="284" t="s">
        <v>211</v>
      </c>
      <c r="DO44" s="284"/>
      <c r="DP44" s="445"/>
      <c r="DQ44" s="448"/>
      <c r="DR44" s="21" t="s">
        <v>211</v>
      </c>
      <c r="DS44" s="284"/>
      <c r="DT44" s="284" t="s">
        <v>211</v>
      </c>
      <c r="DU44" s="284"/>
      <c r="DV44" s="445"/>
      <c r="DW44" s="448"/>
      <c r="DX44" s="21" t="s">
        <v>211</v>
      </c>
      <c r="DY44" s="284"/>
      <c r="DZ44" s="284" t="s">
        <v>211</v>
      </c>
      <c r="EA44" s="284"/>
      <c r="EB44" s="445"/>
      <c r="EC44" s="448"/>
      <c r="ED44" s="21" t="s">
        <v>211</v>
      </c>
      <c r="EE44" s="284">
        <v>1.9</v>
      </c>
      <c r="EF44" s="284" t="s">
        <v>211</v>
      </c>
      <c r="EG44" s="284">
        <v>1.1200000000000001</v>
      </c>
      <c r="EH44" s="445"/>
    </row>
    <row r="45" spans="1:138" x14ac:dyDescent="0.25">
      <c r="A45" s="448"/>
      <c r="B45" s="21" t="s">
        <v>78</v>
      </c>
      <c r="C45" s="288">
        <v>2.3172387244197252E-2</v>
      </c>
      <c r="D45" s="284" t="s">
        <v>78</v>
      </c>
      <c r="E45" s="288">
        <v>1.365951248078996E-2</v>
      </c>
      <c r="F45" s="445"/>
      <c r="G45" s="448"/>
      <c r="H45" s="21" t="s">
        <v>78</v>
      </c>
      <c r="I45" s="288">
        <v>4.4803397309858151E-3</v>
      </c>
      <c r="J45" s="284" t="s">
        <v>78</v>
      </c>
      <c r="K45" s="288">
        <v>2.6410423677390073E-3</v>
      </c>
      <c r="L45" s="445"/>
      <c r="M45" s="448"/>
      <c r="N45" s="21" t="s">
        <v>78</v>
      </c>
      <c r="O45" s="288">
        <v>8.8896174576720537E-3</v>
      </c>
      <c r="P45" s="284" t="s">
        <v>78</v>
      </c>
      <c r="Q45" s="288">
        <v>5.2401955539961584E-3</v>
      </c>
      <c r="R45" s="445"/>
      <c r="S45" s="448"/>
      <c r="T45" s="21" t="s">
        <v>78</v>
      </c>
      <c r="U45" s="288">
        <v>8.7674774852879913E-3</v>
      </c>
      <c r="V45" s="284" t="s">
        <v>78</v>
      </c>
      <c r="W45" s="288">
        <v>5.1681972544855535E-3</v>
      </c>
      <c r="X45" s="445"/>
      <c r="Y45" s="448"/>
      <c r="Z45" s="21" t="s">
        <v>78</v>
      </c>
      <c r="AA45" s="288">
        <v>1.6142687955308593E-4</v>
      </c>
      <c r="AB45" s="284" t="s">
        <v>78</v>
      </c>
      <c r="AC45" s="288">
        <v>9.5156897420766451E-5</v>
      </c>
      <c r="AD45" s="445"/>
      <c r="AE45" s="448"/>
      <c r="AF45" s="21" t="s">
        <v>78</v>
      </c>
      <c r="AG45" s="288">
        <v>1.1102766506707662E-2</v>
      </c>
      <c r="AH45" s="284" t="s">
        <v>78</v>
      </c>
      <c r="AI45" s="288">
        <v>6.5447886776382018E-3</v>
      </c>
      <c r="AJ45" s="445"/>
      <c r="AK45" s="448"/>
      <c r="AL45" s="21" t="s">
        <v>78</v>
      </c>
      <c r="AM45" s="288">
        <v>2.0194907090371656E-2</v>
      </c>
      <c r="AN45" s="284" t="s">
        <v>78</v>
      </c>
      <c r="AO45" s="288">
        <v>1.1904366284850662E-2</v>
      </c>
      <c r="AP45" s="445"/>
      <c r="AQ45" s="448"/>
      <c r="AR45" s="21" t="s">
        <v>78</v>
      </c>
      <c r="AS45" s="288">
        <v>6.2247022560693458E-3</v>
      </c>
      <c r="AT45" s="284" t="s">
        <v>78</v>
      </c>
      <c r="AU45" s="288">
        <v>3.6692981719987725E-3</v>
      </c>
      <c r="AV45" s="445"/>
      <c r="AW45" s="448"/>
      <c r="AX45" s="21" t="s">
        <v>78</v>
      </c>
      <c r="AY45" s="288"/>
      <c r="AZ45" s="284" t="s">
        <v>78</v>
      </c>
      <c r="BA45" s="288"/>
      <c r="BB45" s="445"/>
      <c r="BC45" s="448"/>
      <c r="BD45" s="21" t="s">
        <v>78</v>
      </c>
      <c r="BE45" s="288"/>
      <c r="BF45" s="284" t="s">
        <v>78</v>
      </c>
      <c r="BG45" s="288"/>
      <c r="BH45" s="445"/>
      <c r="BI45" s="448"/>
      <c r="BJ45" s="21" t="s">
        <v>78</v>
      </c>
      <c r="BK45" s="288"/>
      <c r="BL45" s="284" t="s">
        <v>78</v>
      </c>
      <c r="BM45" s="288"/>
      <c r="BN45" s="445"/>
      <c r="BO45" s="448"/>
      <c r="BP45" s="21" t="s">
        <v>78</v>
      </c>
      <c r="BQ45" s="288"/>
      <c r="BR45" s="284" t="s">
        <v>78</v>
      </c>
      <c r="BS45" s="288"/>
      <c r="BT45" s="445"/>
      <c r="BU45" s="448"/>
      <c r="BV45" s="21" t="s">
        <v>78</v>
      </c>
      <c r="BW45" s="288"/>
      <c r="BX45" s="284" t="s">
        <v>78</v>
      </c>
      <c r="BY45" s="288"/>
      <c r="BZ45" s="445"/>
      <c r="CA45" s="448"/>
      <c r="CB45" s="21" t="s">
        <v>78</v>
      </c>
      <c r="CC45" s="288"/>
      <c r="CD45" s="284" t="s">
        <v>78</v>
      </c>
      <c r="CE45" s="288"/>
      <c r="CF45" s="445"/>
      <c r="CG45" s="448"/>
      <c r="CH45" s="21" t="s">
        <v>78</v>
      </c>
      <c r="CI45" s="288">
        <v>0</v>
      </c>
      <c r="CJ45" s="284" t="s">
        <v>78</v>
      </c>
      <c r="CK45" s="288">
        <v>0</v>
      </c>
      <c r="CL45" s="445"/>
      <c r="CM45" s="448"/>
      <c r="CN45" s="21" t="s">
        <v>78</v>
      </c>
      <c r="CO45" s="288">
        <v>1.6398905481668436E-2</v>
      </c>
      <c r="CP45" s="284" t="s">
        <v>78</v>
      </c>
      <c r="CQ45" s="288">
        <v>9.6667232312992908E-3</v>
      </c>
      <c r="CR45" s="445"/>
      <c r="CS45" s="448"/>
      <c r="CT45" s="21" t="s">
        <v>78</v>
      </c>
      <c r="CU45" s="288">
        <v>0.11443036325955748</v>
      </c>
      <c r="CV45" s="284" t="s">
        <v>78</v>
      </c>
      <c r="CW45" s="288">
        <v>6.7453687816160207E-2</v>
      </c>
      <c r="CX45" s="445"/>
      <c r="CY45" s="448"/>
      <c r="CZ45" s="21" t="s">
        <v>78</v>
      </c>
      <c r="DA45" s="288"/>
      <c r="DB45" s="284" t="s">
        <v>78</v>
      </c>
      <c r="DC45" s="288"/>
      <c r="DD45" s="445"/>
      <c r="DE45" s="448"/>
      <c r="DF45" s="21" t="s">
        <v>78</v>
      </c>
      <c r="DG45" s="288"/>
      <c r="DH45" s="284" t="s">
        <v>78</v>
      </c>
      <c r="DI45" s="288"/>
      <c r="DJ45" s="445"/>
      <c r="DK45" s="448"/>
      <c r="DL45" s="21" t="s">
        <v>78</v>
      </c>
      <c r="DM45" s="288"/>
      <c r="DN45" s="284" t="s">
        <v>78</v>
      </c>
      <c r="DO45" s="288"/>
      <c r="DP45" s="445"/>
      <c r="DQ45" s="448"/>
      <c r="DR45" s="21" t="s">
        <v>78</v>
      </c>
      <c r="DS45" s="288"/>
      <c r="DT45" s="284" t="s">
        <v>78</v>
      </c>
      <c r="DU45" s="288"/>
      <c r="DV45" s="445"/>
      <c r="DW45" s="448"/>
      <c r="DX45" s="21" t="s">
        <v>78</v>
      </c>
      <c r="DY45" s="288"/>
      <c r="DZ45" s="284" t="s">
        <v>78</v>
      </c>
      <c r="EA45" s="288"/>
      <c r="EB45" s="445"/>
      <c r="EC45" s="448"/>
      <c r="ED45" s="21" t="s">
        <v>78</v>
      </c>
      <c r="EE45" s="288">
        <v>0.1357142857142857</v>
      </c>
      <c r="EF45" s="284" t="s">
        <v>78</v>
      </c>
      <c r="EG45" s="288">
        <v>0.08</v>
      </c>
      <c r="EH45" s="445"/>
    </row>
    <row r="46" spans="1:138" ht="15.75" thickBot="1" x14ac:dyDescent="0.3">
      <c r="A46" s="449"/>
      <c r="B46" s="22" t="s">
        <v>155</v>
      </c>
      <c r="C46" s="3" t="s">
        <v>291</v>
      </c>
      <c r="D46" s="3" t="s">
        <v>156</v>
      </c>
      <c r="E46" s="3" t="s">
        <v>292</v>
      </c>
      <c r="F46" s="446"/>
      <c r="G46" s="449"/>
      <c r="H46" s="22" t="s">
        <v>155</v>
      </c>
      <c r="I46" s="3" t="s">
        <v>293</v>
      </c>
      <c r="J46" s="3" t="s">
        <v>156</v>
      </c>
      <c r="K46" s="3" t="s">
        <v>294</v>
      </c>
      <c r="L46" s="446"/>
      <c r="M46" s="449"/>
      <c r="N46" s="22" t="s">
        <v>155</v>
      </c>
      <c r="O46" s="3" t="s">
        <v>295</v>
      </c>
      <c r="P46" s="3" t="s">
        <v>156</v>
      </c>
      <c r="Q46" s="3" t="s">
        <v>296</v>
      </c>
      <c r="R46" s="446"/>
      <c r="S46" s="449"/>
      <c r="T46" s="22" t="s">
        <v>155</v>
      </c>
      <c r="U46" s="3" t="s">
        <v>297</v>
      </c>
      <c r="V46" s="3" t="s">
        <v>156</v>
      </c>
      <c r="W46" s="3" t="s">
        <v>298</v>
      </c>
      <c r="X46" s="446"/>
      <c r="Y46" s="449"/>
      <c r="Z46" s="22" t="s">
        <v>155</v>
      </c>
      <c r="AA46" s="3" t="s">
        <v>299</v>
      </c>
      <c r="AB46" s="3" t="s">
        <v>156</v>
      </c>
      <c r="AC46" s="3" t="s">
        <v>300</v>
      </c>
      <c r="AD46" s="446"/>
      <c r="AE46" s="449"/>
      <c r="AF46" s="22" t="s">
        <v>155</v>
      </c>
      <c r="AG46" s="3" t="s">
        <v>301</v>
      </c>
      <c r="AH46" s="3" t="s">
        <v>156</v>
      </c>
      <c r="AI46" s="3" t="s">
        <v>302</v>
      </c>
      <c r="AJ46" s="446"/>
      <c r="AK46" s="449"/>
      <c r="AL46" s="22" t="s">
        <v>155</v>
      </c>
      <c r="AM46" s="3" t="s">
        <v>303</v>
      </c>
      <c r="AN46" s="3" t="s">
        <v>156</v>
      </c>
      <c r="AO46" s="3" t="s">
        <v>304</v>
      </c>
      <c r="AP46" s="446"/>
      <c r="AQ46" s="449"/>
      <c r="AR46" s="22" t="s">
        <v>155</v>
      </c>
      <c r="AS46" s="3" t="s">
        <v>305</v>
      </c>
      <c r="AT46" s="3" t="s">
        <v>156</v>
      </c>
      <c r="AU46" s="3" t="s">
        <v>306</v>
      </c>
      <c r="AV46" s="446"/>
      <c r="AW46" s="449"/>
      <c r="AX46" s="22" t="s">
        <v>155</v>
      </c>
      <c r="AY46" s="3"/>
      <c r="AZ46" s="3" t="s">
        <v>156</v>
      </c>
      <c r="BA46" s="3"/>
      <c r="BB46" s="446"/>
      <c r="BC46" s="449"/>
      <c r="BD46" s="22" t="s">
        <v>155</v>
      </c>
      <c r="BE46" s="3"/>
      <c r="BF46" s="3" t="s">
        <v>156</v>
      </c>
      <c r="BG46" s="3"/>
      <c r="BH46" s="446"/>
      <c r="BI46" s="449"/>
      <c r="BJ46" s="22" t="s">
        <v>155</v>
      </c>
      <c r="BK46" s="3"/>
      <c r="BL46" s="3" t="s">
        <v>156</v>
      </c>
      <c r="BM46" s="3"/>
      <c r="BN46" s="446"/>
      <c r="BO46" s="449"/>
      <c r="BP46" s="22" t="s">
        <v>155</v>
      </c>
      <c r="BQ46" s="3"/>
      <c r="BR46" s="3" t="s">
        <v>156</v>
      </c>
      <c r="BS46" s="3"/>
      <c r="BT46" s="446"/>
      <c r="BU46" s="449"/>
      <c r="BV46" s="22" t="s">
        <v>155</v>
      </c>
      <c r="BW46" s="3"/>
      <c r="BX46" s="3" t="s">
        <v>156</v>
      </c>
      <c r="BY46" s="3"/>
      <c r="BZ46" s="446"/>
      <c r="CA46" s="449"/>
      <c r="CB46" s="22" t="s">
        <v>155</v>
      </c>
      <c r="CC46" s="3"/>
      <c r="CD46" s="3" t="s">
        <v>156</v>
      </c>
      <c r="CE46" s="3"/>
      <c r="CF46" s="446"/>
      <c r="CG46" s="449"/>
      <c r="CH46" s="22" t="s">
        <v>155</v>
      </c>
      <c r="CI46" s="3" t="s">
        <v>172</v>
      </c>
      <c r="CJ46" s="3" t="s">
        <v>156</v>
      </c>
      <c r="CK46" s="3" t="s">
        <v>172</v>
      </c>
      <c r="CL46" s="446"/>
      <c r="CM46" s="449"/>
      <c r="CN46" s="22" t="s">
        <v>155</v>
      </c>
      <c r="CO46" s="3" t="s">
        <v>307</v>
      </c>
      <c r="CP46" s="3" t="s">
        <v>156</v>
      </c>
      <c r="CQ46" s="3" t="s">
        <v>308</v>
      </c>
      <c r="CR46" s="446"/>
      <c r="CS46" s="449"/>
      <c r="CT46" s="22" t="s">
        <v>155</v>
      </c>
      <c r="CU46" s="3" t="s">
        <v>309</v>
      </c>
      <c r="CV46" s="3" t="s">
        <v>156</v>
      </c>
      <c r="CW46" s="3" t="s">
        <v>310</v>
      </c>
      <c r="CX46" s="446"/>
      <c r="CY46" s="449"/>
      <c r="CZ46" s="22" t="s">
        <v>155</v>
      </c>
      <c r="DA46" s="3"/>
      <c r="DB46" s="3" t="s">
        <v>156</v>
      </c>
      <c r="DC46" s="3"/>
      <c r="DD46" s="446"/>
      <c r="DE46" s="449"/>
      <c r="DF46" s="22" t="s">
        <v>155</v>
      </c>
      <c r="DG46" s="3"/>
      <c r="DH46" s="3" t="s">
        <v>156</v>
      </c>
      <c r="DI46" s="3"/>
      <c r="DJ46" s="446"/>
      <c r="DK46" s="449"/>
      <c r="DL46" s="22" t="s">
        <v>155</v>
      </c>
      <c r="DM46" s="3"/>
      <c r="DN46" s="3" t="s">
        <v>156</v>
      </c>
      <c r="DO46" s="3"/>
      <c r="DP46" s="446"/>
      <c r="DQ46" s="449"/>
      <c r="DR46" s="22" t="s">
        <v>155</v>
      </c>
      <c r="DS46" s="3"/>
      <c r="DT46" s="3" t="s">
        <v>156</v>
      </c>
      <c r="DU46" s="3"/>
      <c r="DV46" s="446"/>
      <c r="DW46" s="449"/>
      <c r="DX46" s="22" t="s">
        <v>155</v>
      </c>
      <c r="DY46" s="3"/>
      <c r="DZ46" s="3" t="s">
        <v>156</v>
      </c>
      <c r="EA46" s="3"/>
      <c r="EB46" s="446"/>
      <c r="EC46" s="449"/>
      <c r="ED46" s="22" t="s">
        <v>155</v>
      </c>
      <c r="EE46" s="3" t="s">
        <v>311</v>
      </c>
      <c r="EF46" s="3" t="s">
        <v>156</v>
      </c>
      <c r="EG46" s="3" t="s">
        <v>312</v>
      </c>
      <c r="EH46" s="446"/>
    </row>
    <row r="51" spans="1:70" ht="21" customHeight="1" thickBot="1" x14ac:dyDescent="0.3"/>
    <row r="52" spans="1:70" ht="20.25" customHeight="1" thickBot="1" x14ac:dyDescent="0.3">
      <c r="A52" s="459" t="s">
        <v>198</v>
      </c>
      <c r="B52" s="460"/>
      <c r="C52" s="460"/>
      <c r="D52" s="460"/>
      <c r="E52" s="461"/>
      <c r="G52" s="462" t="s">
        <v>81</v>
      </c>
      <c r="H52" s="463"/>
      <c r="I52" s="463"/>
      <c r="J52" s="464"/>
      <c r="O52" s="459" t="s">
        <v>205</v>
      </c>
      <c r="P52" s="460"/>
      <c r="Q52" s="460"/>
      <c r="R52" s="460"/>
      <c r="S52" s="460"/>
      <c r="T52" s="461"/>
      <c r="W52" s="459" t="s">
        <v>206</v>
      </c>
      <c r="X52" s="460"/>
      <c r="Y52" s="460"/>
      <c r="Z52" s="460"/>
      <c r="AA52" s="460"/>
      <c r="AB52" s="460"/>
      <c r="AC52" s="460"/>
      <c r="AD52" s="460"/>
      <c r="AE52" s="460"/>
      <c r="AF52" s="460"/>
      <c r="AG52" s="460"/>
      <c r="AH52" s="460"/>
      <c r="AI52" s="460"/>
      <c r="AJ52" s="460"/>
      <c r="AK52" s="460"/>
      <c r="AL52" s="460"/>
      <c r="AM52" s="460"/>
      <c r="AN52" s="460"/>
      <c r="AO52" s="460"/>
      <c r="AP52" s="460"/>
      <c r="AQ52" s="460"/>
      <c r="AR52" s="460"/>
      <c r="AS52" s="460"/>
      <c r="AT52" s="460"/>
      <c r="AU52" s="460"/>
      <c r="AV52" s="460"/>
      <c r="AW52" s="460"/>
      <c r="AX52" s="460"/>
      <c r="AY52" s="460"/>
      <c r="AZ52" s="460"/>
      <c r="BA52" s="460"/>
      <c r="BB52" s="460"/>
      <c r="BC52" s="460"/>
      <c r="BD52" s="460"/>
      <c r="BE52" s="460"/>
      <c r="BF52" s="460"/>
      <c r="BG52" s="460"/>
      <c r="BH52" s="460"/>
      <c r="BI52" s="460"/>
      <c r="BJ52" s="460"/>
      <c r="BK52" s="460"/>
      <c r="BL52" s="461"/>
    </row>
    <row r="53" spans="1:70" ht="15.75" thickBot="1" x14ac:dyDescent="0.3">
      <c r="A53" s="8" t="s">
        <v>0</v>
      </c>
      <c r="B53" s="11" t="s">
        <v>1</v>
      </c>
      <c r="C53" s="9" t="s">
        <v>38</v>
      </c>
      <c r="D53" s="9" t="s">
        <v>39</v>
      </c>
      <c r="E53" s="12" t="s">
        <v>43</v>
      </c>
      <c r="G53" s="456" t="s">
        <v>148</v>
      </c>
      <c r="H53" s="457"/>
      <c r="I53" s="458" t="s">
        <v>199</v>
      </c>
      <c r="J53" s="457"/>
      <c r="O53" s="8" t="s">
        <v>29</v>
      </c>
      <c r="P53" s="9"/>
      <c r="Q53" s="9"/>
      <c r="R53" s="9" t="s">
        <v>50</v>
      </c>
      <c r="S53" s="9" t="s">
        <v>51</v>
      </c>
      <c r="T53" s="10" t="s">
        <v>43</v>
      </c>
      <c r="W53" s="327"/>
      <c r="X53" s="328"/>
      <c r="Y53" s="328">
        <v>1</v>
      </c>
      <c r="Z53" s="328"/>
      <c r="AA53" s="328"/>
      <c r="AB53" s="329"/>
      <c r="AC53" s="327"/>
      <c r="AD53" s="328"/>
      <c r="AE53" s="328">
        <v>2</v>
      </c>
      <c r="AF53" s="328"/>
      <c r="AG53" s="328"/>
      <c r="AH53" s="329"/>
      <c r="AI53" s="327"/>
      <c r="AJ53" s="328"/>
      <c r="AK53" s="328">
        <v>3</v>
      </c>
      <c r="AL53" s="328"/>
      <c r="AM53" s="328"/>
      <c r="AN53" s="329"/>
      <c r="AO53" s="327"/>
      <c r="AP53" s="328"/>
      <c r="AQ53" s="328"/>
      <c r="AR53" s="328"/>
      <c r="AS53" s="328"/>
      <c r="AT53" s="329"/>
      <c r="AU53" s="327"/>
      <c r="AV53" s="328"/>
      <c r="AW53" s="328"/>
      <c r="AX53" s="328"/>
      <c r="AY53" s="328"/>
      <c r="AZ53" s="329"/>
      <c r="BA53" s="327"/>
      <c r="BB53" s="328"/>
      <c r="BC53" s="328"/>
      <c r="BD53" s="328"/>
      <c r="BE53" s="328"/>
      <c r="BF53" s="329"/>
      <c r="BG53" s="327"/>
      <c r="BH53" s="328"/>
      <c r="BI53" s="328"/>
      <c r="BJ53" s="328"/>
      <c r="BK53" s="328"/>
      <c r="BL53" s="329"/>
      <c r="BM53" s="344"/>
      <c r="BN53" s="344"/>
      <c r="BO53" s="344"/>
      <c r="BP53" s="344"/>
      <c r="BQ53" s="344"/>
      <c r="BR53" s="344"/>
    </row>
    <row r="54" spans="1:70" ht="18" thickBot="1" x14ac:dyDescent="0.3">
      <c r="A54" s="300"/>
      <c r="B54" s="301"/>
      <c r="C54" s="6" t="s">
        <v>196</v>
      </c>
      <c r="D54" s="13" t="s">
        <v>197</v>
      </c>
      <c r="E54" s="302"/>
      <c r="G54" s="16" t="s">
        <v>200</v>
      </c>
      <c r="H54" s="303">
        <v>0.49056250000000007</v>
      </c>
      <c r="I54" s="18" t="s">
        <v>202</v>
      </c>
      <c r="J54" s="304">
        <v>2.662500000000001E-2</v>
      </c>
      <c r="O54" s="468" t="s">
        <v>145</v>
      </c>
      <c r="P54" s="470" t="s">
        <v>30</v>
      </c>
      <c r="Q54" s="470" t="s">
        <v>48</v>
      </c>
      <c r="R54" s="305" t="s">
        <v>212</v>
      </c>
      <c r="S54" s="288">
        <v>1.3318373917517791E-2</v>
      </c>
      <c r="T54" s="471" t="s">
        <v>207</v>
      </c>
      <c r="W54" s="8" t="s">
        <v>0</v>
      </c>
      <c r="X54" s="9" t="s">
        <v>135</v>
      </c>
      <c r="Y54" s="9" t="s">
        <v>136</v>
      </c>
      <c r="Z54" s="9" t="s">
        <v>141</v>
      </c>
      <c r="AA54" s="9" t="s">
        <v>142</v>
      </c>
      <c r="AB54" s="10" t="s">
        <v>74</v>
      </c>
      <c r="AC54" s="8" t="s">
        <v>0</v>
      </c>
      <c r="AD54" s="9" t="s">
        <v>135</v>
      </c>
      <c r="AE54" s="9" t="s">
        <v>136</v>
      </c>
      <c r="AF54" s="9" t="s">
        <v>141</v>
      </c>
      <c r="AG54" s="9" t="s">
        <v>142</v>
      </c>
      <c r="AH54" s="10" t="s">
        <v>74</v>
      </c>
      <c r="AI54" s="8" t="s">
        <v>0</v>
      </c>
      <c r="AJ54" s="9" t="s">
        <v>135</v>
      </c>
      <c r="AK54" s="9" t="s">
        <v>136</v>
      </c>
      <c r="AL54" s="9" t="s">
        <v>141</v>
      </c>
      <c r="AM54" s="9" t="s">
        <v>142</v>
      </c>
      <c r="AN54" s="10" t="s">
        <v>74</v>
      </c>
      <c r="AO54" s="8" t="s">
        <v>0</v>
      </c>
      <c r="AP54" s="9" t="s">
        <v>135</v>
      </c>
      <c r="AQ54" s="9" t="s">
        <v>136</v>
      </c>
      <c r="AR54" s="9" t="s">
        <v>141</v>
      </c>
      <c r="AS54" s="9" t="s">
        <v>142</v>
      </c>
      <c r="AT54" s="10" t="s">
        <v>74</v>
      </c>
      <c r="AU54" s="8" t="s">
        <v>0</v>
      </c>
      <c r="AV54" s="9" t="s">
        <v>135</v>
      </c>
      <c r="AW54" s="9" t="s">
        <v>136</v>
      </c>
      <c r="AX54" s="9" t="s">
        <v>141</v>
      </c>
      <c r="AY54" s="9" t="s">
        <v>142</v>
      </c>
      <c r="AZ54" s="10" t="s">
        <v>74</v>
      </c>
      <c r="BA54" s="8" t="s">
        <v>0</v>
      </c>
      <c r="BB54" s="9" t="s">
        <v>135</v>
      </c>
      <c r="BC54" s="9" t="s">
        <v>136</v>
      </c>
      <c r="BD54" s="9" t="s">
        <v>141</v>
      </c>
      <c r="BE54" s="9" t="s">
        <v>142</v>
      </c>
      <c r="BF54" s="10" t="s">
        <v>74</v>
      </c>
      <c r="BG54" s="8" t="s">
        <v>0</v>
      </c>
      <c r="BH54" s="9" t="s">
        <v>135</v>
      </c>
      <c r="BI54" s="9" t="s">
        <v>136</v>
      </c>
      <c r="BJ54" s="9" t="s">
        <v>141</v>
      </c>
      <c r="BK54" s="9" t="s">
        <v>142</v>
      </c>
      <c r="BL54" s="10" t="s">
        <v>74</v>
      </c>
      <c r="BM54" s="7"/>
      <c r="BN54" s="7"/>
      <c r="BO54" s="7"/>
      <c r="BP54" s="7"/>
      <c r="BQ54" s="7"/>
      <c r="BR54" s="7"/>
    </row>
    <row r="55" spans="1:70" ht="16.5" x14ac:dyDescent="0.25">
      <c r="A55" s="306">
        <v>1</v>
      </c>
      <c r="B55" s="307" t="s">
        <v>86</v>
      </c>
      <c r="C55" s="308">
        <v>1</v>
      </c>
      <c r="D55" s="308">
        <v>0.48399999999999999</v>
      </c>
      <c r="E55" s="309" t="s">
        <v>154</v>
      </c>
      <c r="G55" s="17" t="s">
        <v>201</v>
      </c>
      <c r="H55" s="310">
        <v>1.3318373917517791E-2</v>
      </c>
      <c r="I55" s="19" t="s">
        <v>203</v>
      </c>
      <c r="J55" s="311">
        <v>2.8770975961290426E-2</v>
      </c>
      <c r="O55" s="468"/>
      <c r="P55" s="470"/>
      <c r="Q55" s="470"/>
      <c r="R55" s="305" t="s">
        <v>213</v>
      </c>
      <c r="S55" s="298">
        <v>2.7149188773128375E-2</v>
      </c>
      <c r="T55" s="472"/>
      <c r="W55" s="286">
        <v>1</v>
      </c>
      <c r="X55" s="287" t="s">
        <v>86</v>
      </c>
      <c r="Y55" s="284">
        <v>0.48399999999999999</v>
      </c>
      <c r="Z55" s="288">
        <v>3.3250000000000002E-2</v>
      </c>
      <c r="AA55" s="289">
        <v>1.1055625000000002E-3</v>
      </c>
      <c r="AB55" s="290" t="s">
        <v>154</v>
      </c>
      <c r="AC55" s="286">
        <v>1</v>
      </c>
      <c r="AD55" s="287" t="s">
        <v>86</v>
      </c>
      <c r="AE55" s="284">
        <v>0.93899999999999995</v>
      </c>
      <c r="AF55" s="288">
        <v>6.8625000000000047E-2</v>
      </c>
      <c r="AG55" s="289">
        <v>4.7093906250000065E-3</v>
      </c>
      <c r="AH55" s="290" t="s">
        <v>154</v>
      </c>
      <c r="AI55" s="286">
        <v>1</v>
      </c>
      <c r="AJ55" s="287" t="s">
        <v>86</v>
      </c>
      <c r="AK55" s="284">
        <v>1.395</v>
      </c>
      <c r="AL55" s="288">
        <v>0.10337499999999999</v>
      </c>
      <c r="AM55" s="289">
        <v>1.0686390624999998E-2</v>
      </c>
      <c r="AN55" s="290" t="s">
        <v>154</v>
      </c>
      <c r="AO55" s="286"/>
      <c r="AP55" s="287"/>
      <c r="AQ55" s="284"/>
      <c r="AR55" s="288"/>
      <c r="AS55" s="289"/>
      <c r="AT55" s="290"/>
      <c r="AU55" s="286"/>
      <c r="AV55" s="287"/>
      <c r="AW55" s="284"/>
      <c r="AX55" s="288"/>
      <c r="AY55" s="289"/>
      <c r="AZ55" s="290"/>
      <c r="BA55" s="286"/>
      <c r="BB55" s="287"/>
      <c r="BC55" s="339"/>
      <c r="BD55" s="288"/>
      <c r="BE55" s="289"/>
      <c r="BF55" s="340"/>
      <c r="BG55" s="286"/>
      <c r="BH55" s="287"/>
      <c r="BI55" s="339"/>
      <c r="BJ55" s="288"/>
      <c r="BK55" s="289"/>
      <c r="BL55" s="340"/>
      <c r="BM55" s="338"/>
      <c r="BN55" s="312"/>
      <c r="BO55" s="338"/>
      <c r="BP55" s="313"/>
      <c r="BQ55" s="20"/>
      <c r="BR55" s="338"/>
    </row>
    <row r="56" spans="1:70" ht="16.5" x14ac:dyDescent="0.25">
      <c r="A56" s="286">
        <v>2</v>
      </c>
      <c r="B56" s="1" t="s">
        <v>86</v>
      </c>
      <c r="C56" s="2">
        <v>2</v>
      </c>
      <c r="D56" s="2">
        <v>0.93899999999999995</v>
      </c>
      <c r="E56" s="314" t="s">
        <v>154</v>
      </c>
      <c r="G56" s="315"/>
      <c r="H56" s="310">
        <v>0.9840430279622655</v>
      </c>
      <c r="I56" s="19" t="s">
        <v>204</v>
      </c>
      <c r="J56" s="311">
        <v>5.3273495670071162E-2</v>
      </c>
      <c r="O56" s="468"/>
      <c r="P56" s="470"/>
      <c r="Q56" s="470"/>
      <c r="R56" s="284" t="s">
        <v>55</v>
      </c>
      <c r="S56" s="2">
        <v>0.3</v>
      </c>
      <c r="T56" s="473"/>
      <c r="W56" s="286">
        <v>2</v>
      </c>
      <c r="X56" s="287" t="s">
        <v>89</v>
      </c>
      <c r="Y56" s="284">
        <v>0.49</v>
      </c>
      <c r="Z56" s="288">
        <v>2.7249999999999996E-2</v>
      </c>
      <c r="AA56" s="289">
        <v>7.4256249999999984E-4</v>
      </c>
      <c r="AB56" s="290" t="s">
        <v>154</v>
      </c>
      <c r="AC56" s="286">
        <v>2</v>
      </c>
      <c r="AD56" s="287" t="s">
        <v>89</v>
      </c>
      <c r="AE56" s="284">
        <v>0.95699999999999996</v>
      </c>
      <c r="AF56" s="288">
        <v>5.0625000000000031E-2</v>
      </c>
      <c r="AG56" s="289">
        <v>2.5628906250000031E-3</v>
      </c>
      <c r="AH56" s="290" t="s">
        <v>154</v>
      </c>
      <c r="AI56" s="286">
        <v>2</v>
      </c>
      <c r="AJ56" s="287" t="s">
        <v>89</v>
      </c>
      <c r="AK56" s="284">
        <v>1.423</v>
      </c>
      <c r="AL56" s="288">
        <v>7.537499999999997E-2</v>
      </c>
      <c r="AM56" s="289">
        <v>5.681390624999995E-3</v>
      </c>
      <c r="AN56" s="290" t="s">
        <v>154</v>
      </c>
      <c r="AO56" s="286"/>
      <c r="AP56" s="287"/>
      <c r="AQ56" s="284"/>
      <c r="AR56" s="288"/>
      <c r="AS56" s="289"/>
      <c r="AT56" s="290"/>
      <c r="AU56" s="286"/>
      <c r="AV56" s="287"/>
      <c r="AW56" s="284"/>
      <c r="AX56" s="288"/>
      <c r="AY56" s="289"/>
      <c r="AZ56" s="290"/>
      <c r="BA56" s="286"/>
      <c r="BB56" s="287"/>
      <c r="BC56" s="339"/>
      <c r="BD56" s="288"/>
      <c r="BE56" s="289"/>
      <c r="BF56" s="340"/>
      <c r="BG56" s="286"/>
      <c r="BH56" s="287"/>
      <c r="BI56" s="339"/>
      <c r="BJ56" s="288"/>
      <c r="BK56" s="289"/>
      <c r="BL56" s="340"/>
      <c r="BM56" s="338"/>
      <c r="BN56" s="312"/>
      <c r="BO56" s="338"/>
      <c r="BP56" s="313"/>
      <c r="BQ56" s="20"/>
      <c r="BR56" s="338"/>
    </row>
    <row r="57" spans="1:70" x14ac:dyDescent="0.25">
      <c r="A57" s="286">
        <v>3</v>
      </c>
      <c r="B57" s="1" t="s">
        <v>86</v>
      </c>
      <c r="C57" s="2">
        <v>3</v>
      </c>
      <c r="D57" s="2">
        <v>1.395</v>
      </c>
      <c r="E57" s="314" t="s">
        <v>154</v>
      </c>
      <c r="G57" s="316"/>
      <c r="H57" s="311">
        <v>1356.7076863940804</v>
      </c>
      <c r="I57" s="317"/>
      <c r="J57" s="311">
        <v>22</v>
      </c>
      <c r="O57" s="468"/>
      <c r="P57" s="470"/>
      <c r="Q57" s="470" t="s">
        <v>56</v>
      </c>
      <c r="R57" s="305" t="s">
        <v>214</v>
      </c>
      <c r="S57" s="288">
        <v>2.8770975961290426E-2</v>
      </c>
      <c r="T57" s="471" t="s">
        <v>340</v>
      </c>
      <c r="W57" s="286">
        <v>3</v>
      </c>
      <c r="X57" s="287" t="s">
        <v>91</v>
      </c>
      <c r="Y57" s="284">
        <v>0.51500000000000001</v>
      </c>
      <c r="Z57" s="288">
        <v>2.2499999999999742E-3</v>
      </c>
      <c r="AA57" s="289">
        <v>5.0624999999998842E-6</v>
      </c>
      <c r="AB57" s="290" t="s">
        <v>154</v>
      </c>
      <c r="AC57" s="286">
        <v>3</v>
      </c>
      <c r="AD57" s="287" t="s">
        <v>91</v>
      </c>
      <c r="AE57" s="284">
        <v>1.002</v>
      </c>
      <c r="AF57" s="288">
        <v>5.6249999999999911E-3</v>
      </c>
      <c r="AG57" s="289">
        <v>3.1640624999999903E-5</v>
      </c>
      <c r="AH57" s="290" t="s">
        <v>154</v>
      </c>
      <c r="AI57" s="286">
        <v>3</v>
      </c>
      <c r="AJ57" s="287" t="s">
        <v>91</v>
      </c>
      <c r="AK57" s="284">
        <v>1.49</v>
      </c>
      <c r="AL57" s="288">
        <v>8.3750000000000213E-3</v>
      </c>
      <c r="AM57" s="289">
        <v>7.0140625000000351E-5</v>
      </c>
      <c r="AN57" s="290" t="s">
        <v>154</v>
      </c>
      <c r="AO57" s="286"/>
      <c r="AP57" s="287"/>
      <c r="AQ57" s="284"/>
      <c r="AR57" s="288"/>
      <c r="AS57" s="289"/>
      <c r="AT57" s="290"/>
      <c r="AU57" s="286"/>
      <c r="AV57" s="287"/>
      <c r="AW57" s="284"/>
      <c r="AX57" s="288"/>
      <c r="AY57" s="289"/>
      <c r="AZ57" s="290"/>
      <c r="BA57" s="286"/>
      <c r="BB57" s="287"/>
      <c r="BC57" s="339"/>
      <c r="BD57" s="288"/>
      <c r="BE57" s="289"/>
      <c r="BF57" s="340"/>
      <c r="BG57" s="286"/>
      <c r="BH57" s="287"/>
      <c r="BI57" s="339"/>
      <c r="BJ57" s="288"/>
      <c r="BK57" s="289"/>
      <c r="BL57" s="340"/>
      <c r="BM57" s="338"/>
      <c r="BN57" s="312"/>
      <c r="BO57" s="338"/>
      <c r="BP57" s="313"/>
      <c r="BQ57" s="20"/>
      <c r="BR57" s="338"/>
    </row>
    <row r="58" spans="1:70" ht="15.75" thickBot="1" x14ac:dyDescent="0.3">
      <c r="A58" s="286">
        <v>4</v>
      </c>
      <c r="B58" s="1" t="s">
        <v>89</v>
      </c>
      <c r="C58" s="2">
        <v>1</v>
      </c>
      <c r="D58" s="2">
        <v>0.49</v>
      </c>
      <c r="E58" s="314" t="s">
        <v>154</v>
      </c>
      <c r="G58" s="318"/>
      <c r="H58" s="319">
        <v>3.8504250625000003</v>
      </c>
      <c r="I58" s="320"/>
      <c r="J58" s="319">
        <v>6.2437437500000005E-2</v>
      </c>
      <c r="O58" s="468"/>
      <c r="P58" s="470"/>
      <c r="Q58" s="470"/>
      <c r="R58" s="284" t="s">
        <v>215</v>
      </c>
      <c r="S58" s="298">
        <v>1.0806000361048043</v>
      </c>
      <c r="T58" s="472"/>
      <c r="W58" s="286">
        <v>4</v>
      </c>
      <c r="X58" s="287" t="s">
        <v>93</v>
      </c>
      <c r="Y58" s="284">
        <v>0.501</v>
      </c>
      <c r="Z58" s="288">
        <v>1.6249999999999987E-2</v>
      </c>
      <c r="AA58" s="289">
        <v>2.6406249999999954E-4</v>
      </c>
      <c r="AB58" s="290" t="s">
        <v>154</v>
      </c>
      <c r="AC58" s="286">
        <v>4</v>
      </c>
      <c r="AD58" s="287" t="s">
        <v>93</v>
      </c>
      <c r="AE58" s="284">
        <v>0.97799999999999998</v>
      </c>
      <c r="AF58" s="288">
        <v>2.9625000000000012E-2</v>
      </c>
      <c r="AG58" s="289">
        <v>8.7764062500000071E-4</v>
      </c>
      <c r="AH58" s="290" t="s">
        <v>154</v>
      </c>
      <c r="AI58" s="286">
        <v>4</v>
      </c>
      <c r="AJ58" s="287" t="s">
        <v>93</v>
      </c>
      <c r="AK58" s="284">
        <v>1.4550000000000001</v>
      </c>
      <c r="AL58" s="288">
        <v>4.3374999999999941E-2</v>
      </c>
      <c r="AM58" s="289">
        <v>1.8813906249999948E-3</v>
      </c>
      <c r="AN58" s="290" t="s">
        <v>154</v>
      </c>
      <c r="AO58" s="286"/>
      <c r="AP58" s="287"/>
      <c r="AQ58" s="284"/>
      <c r="AR58" s="288"/>
      <c r="AS58" s="289"/>
      <c r="AT58" s="290"/>
      <c r="AU58" s="286"/>
      <c r="AV58" s="287"/>
      <c r="AW58" s="284"/>
      <c r="AX58" s="288"/>
      <c r="AY58" s="289"/>
      <c r="AZ58" s="290"/>
      <c r="BA58" s="286"/>
      <c r="BB58" s="287"/>
      <c r="BC58" s="339"/>
      <c r="BD58" s="288"/>
      <c r="BE58" s="289"/>
      <c r="BF58" s="340"/>
      <c r="BG58" s="286"/>
      <c r="BH58" s="287"/>
      <c r="BI58" s="339"/>
      <c r="BJ58" s="288"/>
      <c r="BK58" s="289"/>
      <c r="BL58" s="340"/>
      <c r="BM58" s="338"/>
      <c r="BN58" s="312"/>
      <c r="BO58" s="338"/>
      <c r="BP58" s="313"/>
      <c r="BQ58" s="20"/>
      <c r="BR58" s="338"/>
    </row>
    <row r="59" spans="1:70" x14ac:dyDescent="0.25">
      <c r="A59" s="286">
        <v>5</v>
      </c>
      <c r="B59" s="1" t="s">
        <v>89</v>
      </c>
      <c r="C59" s="2">
        <v>2</v>
      </c>
      <c r="D59" s="2">
        <v>0.95699999999999996</v>
      </c>
      <c r="E59" s="314" t="s">
        <v>154</v>
      </c>
      <c r="O59" s="468"/>
      <c r="P59" s="470"/>
      <c r="Q59" s="470"/>
      <c r="R59" s="284" t="s">
        <v>55</v>
      </c>
      <c r="S59" s="2">
        <v>0.3</v>
      </c>
      <c r="T59" s="473"/>
      <c r="W59" s="286">
        <v>5</v>
      </c>
      <c r="X59" s="287" t="s">
        <v>95</v>
      </c>
      <c r="Y59" s="284">
        <v>0.51500000000000001</v>
      </c>
      <c r="Z59" s="288">
        <v>2.2499999999999742E-3</v>
      </c>
      <c r="AA59" s="289">
        <v>5.0624999999998842E-6</v>
      </c>
      <c r="AB59" s="290" t="s">
        <v>154</v>
      </c>
      <c r="AC59" s="286">
        <v>5</v>
      </c>
      <c r="AD59" s="287" t="s">
        <v>95</v>
      </c>
      <c r="AE59" s="284">
        <v>1.002</v>
      </c>
      <c r="AF59" s="288">
        <v>5.6249999999999911E-3</v>
      </c>
      <c r="AG59" s="289">
        <v>3.1640624999999903E-5</v>
      </c>
      <c r="AH59" s="290" t="s">
        <v>154</v>
      </c>
      <c r="AI59" s="286">
        <v>5</v>
      </c>
      <c r="AJ59" s="287" t="s">
        <v>95</v>
      </c>
      <c r="AK59" s="284">
        <v>1.49</v>
      </c>
      <c r="AL59" s="288">
        <v>8.3750000000000213E-3</v>
      </c>
      <c r="AM59" s="289">
        <v>7.0140625000000351E-5</v>
      </c>
      <c r="AN59" s="290" t="s">
        <v>154</v>
      </c>
      <c r="AO59" s="286"/>
      <c r="AP59" s="287"/>
      <c r="AQ59" s="284"/>
      <c r="AR59" s="288"/>
      <c r="AS59" s="289"/>
      <c r="AT59" s="290"/>
      <c r="AU59" s="286"/>
      <c r="AV59" s="287"/>
      <c r="AW59" s="284"/>
      <c r="AX59" s="288"/>
      <c r="AY59" s="289"/>
      <c r="AZ59" s="290"/>
      <c r="BA59" s="286"/>
      <c r="BB59" s="287"/>
      <c r="BC59" s="339"/>
      <c r="BD59" s="288"/>
      <c r="BE59" s="289"/>
      <c r="BF59" s="340"/>
      <c r="BG59" s="286"/>
      <c r="BH59" s="287"/>
      <c r="BI59" s="339"/>
      <c r="BJ59" s="288"/>
      <c r="BK59" s="289"/>
      <c r="BL59" s="340"/>
      <c r="BM59" s="338"/>
      <c r="BN59" s="312"/>
      <c r="BO59" s="338"/>
      <c r="BP59" s="313"/>
      <c r="BQ59" s="20"/>
      <c r="BR59" s="338"/>
    </row>
    <row r="60" spans="1:70" x14ac:dyDescent="0.25">
      <c r="A60" s="286">
        <v>6</v>
      </c>
      <c r="B60" s="1" t="s">
        <v>89</v>
      </c>
      <c r="C60" s="2">
        <v>3</v>
      </c>
      <c r="D60" s="2">
        <v>1.423</v>
      </c>
      <c r="E60" s="314" t="s">
        <v>154</v>
      </c>
      <c r="O60" s="468"/>
      <c r="P60" s="470" t="s">
        <v>31</v>
      </c>
      <c r="Q60" s="470" t="s">
        <v>32</v>
      </c>
      <c r="R60" s="284" t="s">
        <v>216</v>
      </c>
      <c r="S60" s="288">
        <v>0.49056250000000007</v>
      </c>
      <c r="T60" s="445"/>
      <c r="W60" s="286">
        <v>6</v>
      </c>
      <c r="X60" s="287" t="s">
        <v>253</v>
      </c>
      <c r="Y60" s="284">
        <v>0.53</v>
      </c>
      <c r="Z60" s="288">
        <v>1.2750000000000039E-2</v>
      </c>
      <c r="AA60" s="289">
        <v>1.62562500000001E-4</v>
      </c>
      <c r="AB60" s="290" t="s">
        <v>154</v>
      </c>
      <c r="AC60" s="286">
        <v>6</v>
      </c>
      <c r="AD60" s="287" t="s">
        <v>253</v>
      </c>
      <c r="AE60" s="284">
        <v>1.034</v>
      </c>
      <c r="AF60" s="288">
        <v>2.6375000000000037E-2</v>
      </c>
      <c r="AG60" s="289">
        <v>6.9564062500000192E-4</v>
      </c>
      <c r="AH60" s="290" t="s">
        <v>154</v>
      </c>
      <c r="AI60" s="286">
        <v>6</v>
      </c>
      <c r="AJ60" s="287" t="s">
        <v>253</v>
      </c>
      <c r="AK60" s="284">
        <v>1.538</v>
      </c>
      <c r="AL60" s="288">
        <v>3.9625000000000021E-2</v>
      </c>
      <c r="AM60" s="289">
        <v>1.5701406250000017E-3</v>
      </c>
      <c r="AN60" s="290" t="s">
        <v>154</v>
      </c>
      <c r="AO60" s="286"/>
      <c r="AP60" s="287"/>
      <c r="AQ60" s="284"/>
      <c r="AR60" s="288"/>
      <c r="AS60" s="289"/>
      <c r="AT60" s="290"/>
      <c r="AU60" s="286"/>
      <c r="AV60" s="287"/>
      <c r="AW60" s="284"/>
      <c r="AX60" s="288"/>
      <c r="AY60" s="289"/>
      <c r="AZ60" s="290"/>
      <c r="BA60" s="286"/>
      <c r="BB60" s="287"/>
      <c r="BC60" s="339"/>
      <c r="BD60" s="288"/>
      <c r="BE60" s="289"/>
      <c r="BF60" s="340"/>
      <c r="BG60" s="286"/>
      <c r="BH60" s="287"/>
      <c r="BI60" s="339"/>
      <c r="BJ60" s="288"/>
      <c r="BK60" s="289"/>
      <c r="BL60" s="340"/>
      <c r="BM60" s="338"/>
      <c r="BN60" s="312"/>
      <c r="BO60" s="338"/>
      <c r="BP60" s="313"/>
      <c r="BQ60" s="20"/>
      <c r="BR60" s="338"/>
    </row>
    <row r="61" spans="1:70" x14ac:dyDescent="0.25">
      <c r="A61" s="286">
        <v>7</v>
      </c>
      <c r="B61" s="1" t="s">
        <v>91</v>
      </c>
      <c r="C61" s="2">
        <v>1</v>
      </c>
      <c r="D61" s="2">
        <v>0.51500000000000001</v>
      </c>
      <c r="E61" s="314" t="s">
        <v>154</v>
      </c>
      <c r="O61" s="468"/>
      <c r="P61" s="470"/>
      <c r="Q61" s="470"/>
      <c r="R61" s="284" t="s">
        <v>217</v>
      </c>
      <c r="S61" s="321" t="s">
        <v>335</v>
      </c>
      <c r="T61" s="445"/>
      <c r="W61" s="286">
        <v>7</v>
      </c>
      <c r="X61" s="287" t="s">
        <v>254</v>
      </c>
      <c r="Y61" s="284">
        <v>0.55000000000000004</v>
      </c>
      <c r="Z61" s="288">
        <v>3.2750000000000057E-2</v>
      </c>
      <c r="AA61" s="289">
        <v>1.0725625000000036E-3</v>
      </c>
      <c r="AB61" s="290" t="s">
        <v>154</v>
      </c>
      <c r="AC61" s="286">
        <v>7</v>
      </c>
      <c r="AD61" s="287" t="s">
        <v>254</v>
      </c>
      <c r="AE61" s="284">
        <v>1.07</v>
      </c>
      <c r="AF61" s="288">
        <v>6.2375000000000069E-2</v>
      </c>
      <c r="AG61" s="289">
        <v>3.8906406250000087E-3</v>
      </c>
      <c r="AH61" s="290" t="s">
        <v>154</v>
      </c>
      <c r="AI61" s="286">
        <v>7</v>
      </c>
      <c r="AJ61" s="287" t="s">
        <v>254</v>
      </c>
      <c r="AK61" s="284">
        <v>1.591</v>
      </c>
      <c r="AL61" s="288">
        <v>9.2624999999999957E-2</v>
      </c>
      <c r="AM61" s="289">
        <v>8.579390624999992E-3</v>
      </c>
      <c r="AN61" s="290" t="s">
        <v>154</v>
      </c>
      <c r="AO61" s="286"/>
      <c r="AP61" s="287"/>
      <c r="AQ61" s="284"/>
      <c r="AR61" s="288"/>
      <c r="AS61" s="289"/>
      <c r="AT61" s="290"/>
      <c r="AU61" s="286"/>
      <c r="AV61" s="287"/>
      <c r="AW61" s="284"/>
      <c r="AX61" s="288"/>
      <c r="AY61" s="289"/>
      <c r="AZ61" s="290"/>
      <c r="BA61" s="286"/>
      <c r="BB61" s="287"/>
      <c r="BC61" s="339"/>
      <c r="BD61" s="288"/>
      <c r="BE61" s="289"/>
      <c r="BF61" s="340"/>
      <c r="BG61" s="286"/>
      <c r="BH61" s="287"/>
      <c r="BI61" s="339"/>
      <c r="BJ61" s="288"/>
      <c r="BK61" s="289"/>
      <c r="BL61" s="340"/>
      <c r="BM61" s="338"/>
      <c r="BN61" s="312"/>
      <c r="BO61" s="338"/>
      <c r="BP61" s="313"/>
      <c r="BQ61" s="20"/>
      <c r="BR61" s="338"/>
    </row>
    <row r="62" spans="1:70" x14ac:dyDescent="0.25">
      <c r="A62" s="286">
        <v>8</v>
      </c>
      <c r="B62" s="1" t="s">
        <v>91</v>
      </c>
      <c r="C62" s="2">
        <v>2</v>
      </c>
      <c r="D62" s="2">
        <v>1.002</v>
      </c>
      <c r="E62" s="314" t="s">
        <v>154</v>
      </c>
      <c r="O62" s="468"/>
      <c r="P62" s="470"/>
      <c r="Q62" s="284" t="s">
        <v>56</v>
      </c>
      <c r="R62" s="284" t="s">
        <v>218</v>
      </c>
      <c r="S62" s="288">
        <v>2.662500000000001E-2</v>
      </c>
      <c r="T62" s="445"/>
      <c r="W62" s="286">
        <v>8</v>
      </c>
      <c r="X62" s="287" t="s">
        <v>255</v>
      </c>
      <c r="Y62" s="284">
        <v>0.55300000000000005</v>
      </c>
      <c r="Z62" s="288">
        <v>3.575000000000006E-2</v>
      </c>
      <c r="AA62" s="289">
        <v>1.2780625000000042E-3</v>
      </c>
      <c r="AB62" s="290" t="s">
        <v>154</v>
      </c>
      <c r="AC62" s="286">
        <v>8</v>
      </c>
      <c r="AD62" s="287" t="s">
        <v>255</v>
      </c>
      <c r="AE62" s="284">
        <v>1.079</v>
      </c>
      <c r="AF62" s="288">
        <v>7.1374999999999966E-2</v>
      </c>
      <c r="AG62" s="289">
        <v>5.0943906249999952E-3</v>
      </c>
      <c r="AH62" s="290" t="s">
        <v>154</v>
      </c>
      <c r="AI62" s="286">
        <v>8</v>
      </c>
      <c r="AJ62" s="287" t="s">
        <v>255</v>
      </c>
      <c r="AK62" s="284">
        <v>1.605</v>
      </c>
      <c r="AL62" s="288">
        <v>0.10662499999999997</v>
      </c>
      <c r="AM62" s="289">
        <v>1.1368890624999994E-2</v>
      </c>
      <c r="AN62" s="290" t="s">
        <v>154</v>
      </c>
      <c r="AO62" s="286"/>
      <c r="AP62" s="287"/>
      <c r="AQ62" s="284"/>
      <c r="AR62" s="288"/>
      <c r="AS62" s="289"/>
      <c r="AT62" s="290"/>
      <c r="AU62" s="286"/>
      <c r="AV62" s="287"/>
      <c r="AW62" s="284"/>
      <c r="AX62" s="288"/>
      <c r="AY62" s="289"/>
      <c r="AZ62" s="290"/>
      <c r="BA62" s="286"/>
      <c r="BB62" s="287"/>
      <c r="BC62" s="339"/>
      <c r="BD62" s="288"/>
      <c r="BE62" s="289"/>
      <c r="BF62" s="340"/>
      <c r="BG62" s="286"/>
      <c r="BH62" s="287"/>
      <c r="BI62" s="339"/>
      <c r="BJ62" s="288"/>
      <c r="BK62" s="289"/>
      <c r="BL62" s="340"/>
      <c r="BM62" s="338"/>
      <c r="BN62" s="312"/>
      <c r="BO62" s="338"/>
      <c r="BP62" s="313"/>
      <c r="BQ62" s="20"/>
      <c r="BR62" s="338"/>
    </row>
    <row r="63" spans="1:70" x14ac:dyDescent="0.25">
      <c r="A63" s="286">
        <v>9</v>
      </c>
      <c r="B63" s="1" t="s">
        <v>91</v>
      </c>
      <c r="C63" s="2">
        <v>3</v>
      </c>
      <c r="D63" s="2">
        <v>1.49</v>
      </c>
      <c r="E63" s="314" t="s">
        <v>154</v>
      </c>
      <c r="O63" s="468"/>
      <c r="P63" s="474" t="s">
        <v>72</v>
      </c>
      <c r="Q63" s="447"/>
      <c r="R63" s="284" t="s">
        <v>62</v>
      </c>
      <c r="S63" s="2">
        <v>0.95</v>
      </c>
      <c r="T63" s="471" t="s">
        <v>366</v>
      </c>
      <c r="W63" s="286">
        <v>9</v>
      </c>
      <c r="X63" s="287"/>
      <c r="Y63" s="284"/>
      <c r="Z63" s="288"/>
      <c r="AA63" s="289"/>
      <c r="AB63" s="290"/>
      <c r="AC63" s="286">
        <v>9</v>
      </c>
      <c r="AD63" s="287"/>
      <c r="AE63" s="284"/>
      <c r="AF63" s="288"/>
      <c r="AG63" s="289"/>
      <c r="AH63" s="290"/>
      <c r="AI63" s="286">
        <v>9</v>
      </c>
      <c r="AJ63" s="287"/>
      <c r="AK63" s="284"/>
      <c r="AL63" s="288"/>
      <c r="AM63" s="289"/>
      <c r="AN63" s="290"/>
      <c r="AO63" s="286"/>
      <c r="AP63" s="287"/>
      <c r="AQ63" s="284"/>
      <c r="AR63" s="288"/>
      <c r="AS63" s="289"/>
      <c r="AT63" s="290"/>
      <c r="AU63" s="286"/>
      <c r="AV63" s="287"/>
      <c r="AW63" s="284"/>
      <c r="AX63" s="288"/>
      <c r="AY63" s="289"/>
      <c r="AZ63" s="290"/>
      <c r="BA63" s="286"/>
      <c r="BB63" s="287"/>
      <c r="BC63" s="339"/>
      <c r="BD63" s="288"/>
      <c r="BE63" s="289"/>
      <c r="BF63" s="340"/>
      <c r="BG63" s="286"/>
      <c r="BH63" s="287"/>
      <c r="BI63" s="339"/>
      <c r="BJ63" s="288"/>
      <c r="BK63" s="289"/>
      <c r="BL63" s="340"/>
      <c r="BM63" s="338"/>
      <c r="BN63" s="312"/>
      <c r="BO63" s="338"/>
      <c r="BP63" s="313"/>
      <c r="BQ63" s="20"/>
      <c r="BR63" s="338"/>
    </row>
    <row r="64" spans="1:70" x14ac:dyDescent="0.25">
      <c r="A64" s="286">
        <v>10</v>
      </c>
      <c r="B64" s="1" t="s">
        <v>93</v>
      </c>
      <c r="C64" s="2">
        <v>1</v>
      </c>
      <c r="D64" s="2">
        <v>0.501</v>
      </c>
      <c r="E64" s="314" t="s">
        <v>154</v>
      </c>
      <c r="O64" s="468"/>
      <c r="P64" s="475"/>
      <c r="Q64" s="447"/>
      <c r="R64" s="284" t="s">
        <v>211</v>
      </c>
      <c r="S64" s="284">
        <v>1.72</v>
      </c>
      <c r="T64" s="472"/>
      <c r="W64" s="286">
        <v>10</v>
      </c>
      <c r="X64" s="287"/>
      <c r="Y64" s="284"/>
      <c r="Z64" s="288"/>
      <c r="AA64" s="289"/>
      <c r="AB64" s="290"/>
      <c r="AC64" s="286">
        <v>10</v>
      </c>
      <c r="AD64" s="287"/>
      <c r="AE64" s="284"/>
      <c r="AF64" s="288"/>
      <c r="AG64" s="289"/>
      <c r="AH64" s="290"/>
      <c r="AI64" s="286">
        <v>10</v>
      </c>
      <c r="AJ64" s="287"/>
      <c r="AK64" s="284"/>
      <c r="AL64" s="288"/>
      <c r="AM64" s="289"/>
      <c r="AN64" s="290"/>
      <c r="AO64" s="286"/>
      <c r="AP64" s="287"/>
      <c r="AQ64" s="284"/>
      <c r="AR64" s="288"/>
      <c r="AS64" s="289"/>
      <c r="AT64" s="290"/>
      <c r="AU64" s="286"/>
      <c r="AV64" s="287"/>
      <c r="AW64" s="284"/>
      <c r="AX64" s="288"/>
      <c r="AY64" s="289"/>
      <c r="AZ64" s="290"/>
      <c r="BA64" s="286"/>
      <c r="BB64" s="287"/>
      <c r="BC64" s="339"/>
      <c r="BD64" s="288"/>
      <c r="BE64" s="289"/>
      <c r="BF64" s="340"/>
      <c r="BG64" s="286"/>
      <c r="BH64" s="287"/>
      <c r="BI64" s="339"/>
      <c r="BJ64" s="288"/>
      <c r="BK64" s="289"/>
      <c r="BL64" s="340"/>
      <c r="BM64" s="338"/>
      <c r="BN64" s="312"/>
      <c r="BO64" s="338"/>
      <c r="BP64" s="313"/>
      <c r="BQ64" s="20"/>
      <c r="BR64" s="338"/>
    </row>
    <row r="65" spans="1:70" x14ac:dyDescent="0.25">
      <c r="A65" s="286">
        <v>11</v>
      </c>
      <c r="B65" s="1" t="s">
        <v>93</v>
      </c>
      <c r="C65" s="2">
        <v>2</v>
      </c>
      <c r="D65" s="2">
        <v>0.97799999999999998</v>
      </c>
      <c r="E65" s="314" t="s">
        <v>154</v>
      </c>
      <c r="O65" s="468"/>
      <c r="P65" s="475"/>
      <c r="Q65" s="447"/>
      <c r="R65" s="284" t="s">
        <v>219</v>
      </c>
      <c r="S65" s="288">
        <v>4.6696604689780805E-2</v>
      </c>
      <c r="T65" s="472"/>
      <c r="W65" s="286">
        <v>11</v>
      </c>
      <c r="X65" s="287"/>
      <c r="Y65" s="284"/>
      <c r="Z65" s="288"/>
      <c r="AA65" s="289"/>
      <c r="AB65" s="290"/>
      <c r="AC65" s="286">
        <v>11</v>
      </c>
      <c r="AD65" s="287"/>
      <c r="AE65" s="284"/>
      <c r="AF65" s="288"/>
      <c r="AG65" s="289"/>
      <c r="AH65" s="290"/>
      <c r="AI65" s="286">
        <v>11</v>
      </c>
      <c r="AJ65" s="287"/>
      <c r="AK65" s="284"/>
      <c r="AL65" s="288"/>
      <c r="AM65" s="289"/>
      <c r="AN65" s="290"/>
      <c r="AO65" s="286"/>
      <c r="AP65" s="287"/>
      <c r="AQ65" s="284"/>
      <c r="AR65" s="288"/>
      <c r="AS65" s="289"/>
      <c r="AT65" s="290"/>
      <c r="AU65" s="286"/>
      <c r="AV65" s="287"/>
      <c r="AW65" s="284"/>
      <c r="AX65" s="288"/>
      <c r="AY65" s="289"/>
      <c r="AZ65" s="290"/>
      <c r="BA65" s="286"/>
      <c r="BB65" s="287"/>
      <c r="BC65" s="339"/>
      <c r="BD65" s="288"/>
      <c r="BE65" s="289"/>
      <c r="BF65" s="340"/>
      <c r="BG65" s="286"/>
      <c r="BH65" s="287"/>
      <c r="BI65" s="339"/>
      <c r="BJ65" s="288"/>
      <c r="BK65" s="289"/>
      <c r="BL65" s="340"/>
      <c r="BM65" s="338"/>
      <c r="BN65" s="312"/>
      <c r="BO65" s="338"/>
      <c r="BP65" s="313"/>
      <c r="BQ65" s="20"/>
      <c r="BR65" s="338"/>
    </row>
    <row r="66" spans="1:70" x14ac:dyDescent="0.25">
      <c r="A66" s="286">
        <v>12</v>
      </c>
      <c r="B66" s="1" t="s">
        <v>93</v>
      </c>
      <c r="C66" s="2">
        <v>3</v>
      </c>
      <c r="D66" s="2">
        <v>1.4550000000000001</v>
      </c>
      <c r="E66" s="314" t="s">
        <v>154</v>
      </c>
      <c r="O66" s="468"/>
      <c r="P66" s="475"/>
      <c r="Q66" s="447"/>
      <c r="R66" s="284" t="s">
        <v>220</v>
      </c>
      <c r="S66" s="284" t="s">
        <v>337</v>
      </c>
      <c r="T66" s="472"/>
      <c r="W66" s="286">
        <v>12</v>
      </c>
      <c r="X66" s="287"/>
      <c r="Y66" s="284"/>
      <c r="Z66" s="288"/>
      <c r="AA66" s="289"/>
      <c r="AB66" s="290"/>
      <c r="AC66" s="286">
        <v>12</v>
      </c>
      <c r="AD66" s="287"/>
      <c r="AE66" s="284"/>
      <c r="AF66" s="288"/>
      <c r="AG66" s="289"/>
      <c r="AH66" s="290"/>
      <c r="AI66" s="286">
        <v>12</v>
      </c>
      <c r="AJ66" s="287"/>
      <c r="AK66" s="284"/>
      <c r="AL66" s="288"/>
      <c r="AM66" s="289"/>
      <c r="AN66" s="290"/>
      <c r="AO66" s="286"/>
      <c r="AP66" s="287"/>
      <c r="AQ66" s="284"/>
      <c r="AR66" s="288"/>
      <c r="AS66" s="289"/>
      <c r="AT66" s="290"/>
      <c r="AU66" s="286"/>
      <c r="AV66" s="287"/>
      <c r="AW66" s="284"/>
      <c r="AX66" s="288"/>
      <c r="AY66" s="289"/>
      <c r="AZ66" s="290"/>
      <c r="BA66" s="286"/>
      <c r="BB66" s="287"/>
      <c r="BC66" s="339"/>
      <c r="BD66" s="288"/>
      <c r="BE66" s="289"/>
      <c r="BF66" s="340"/>
      <c r="BG66" s="286"/>
      <c r="BH66" s="287"/>
      <c r="BI66" s="339"/>
      <c r="BJ66" s="288"/>
      <c r="BK66" s="289"/>
      <c r="BL66" s="340"/>
      <c r="BM66" s="338"/>
      <c r="BN66" s="312"/>
      <c r="BO66" s="338"/>
      <c r="BP66" s="313"/>
      <c r="BQ66" s="20"/>
      <c r="BR66" s="338"/>
    </row>
    <row r="67" spans="1:70" x14ac:dyDescent="0.25">
      <c r="A67" s="286">
        <v>13</v>
      </c>
      <c r="B67" s="1" t="s">
        <v>95</v>
      </c>
      <c r="C67" s="2">
        <v>1</v>
      </c>
      <c r="D67" s="2">
        <v>0.51500000000000001</v>
      </c>
      <c r="E67" s="314" t="s">
        <v>154</v>
      </c>
      <c r="O67" s="468"/>
      <c r="P67" s="475"/>
      <c r="Q67" s="447"/>
      <c r="R67" s="284" t="s">
        <v>221</v>
      </c>
      <c r="S67" s="284" t="s">
        <v>336</v>
      </c>
      <c r="T67" s="472"/>
      <c r="W67" s="286">
        <v>13</v>
      </c>
      <c r="X67" s="287"/>
      <c r="Y67" s="284"/>
      <c r="Z67" s="288"/>
      <c r="AA67" s="289"/>
      <c r="AB67" s="290"/>
      <c r="AC67" s="286">
        <v>13</v>
      </c>
      <c r="AD67" s="287"/>
      <c r="AE67" s="284"/>
      <c r="AF67" s="288"/>
      <c r="AG67" s="289"/>
      <c r="AH67" s="290"/>
      <c r="AI67" s="286">
        <v>13</v>
      </c>
      <c r="AJ67" s="287"/>
      <c r="AK67" s="284"/>
      <c r="AL67" s="288"/>
      <c r="AM67" s="289"/>
      <c r="AN67" s="290"/>
      <c r="AO67" s="286"/>
      <c r="AP67" s="287"/>
      <c r="AQ67" s="284"/>
      <c r="AR67" s="288"/>
      <c r="AS67" s="289"/>
      <c r="AT67" s="290"/>
      <c r="AU67" s="286"/>
      <c r="AV67" s="287"/>
      <c r="AW67" s="284"/>
      <c r="AX67" s="288"/>
      <c r="AY67" s="289"/>
      <c r="AZ67" s="290"/>
      <c r="BA67" s="286"/>
      <c r="BB67" s="287"/>
      <c r="BC67" s="339"/>
      <c r="BD67" s="288"/>
      <c r="BE67" s="289"/>
      <c r="BF67" s="340"/>
      <c r="BG67" s="286"/>
      <c r="BH67" s="287"/>
      <c r="BI67" s="339"/>
      <c r="BJ67" s="288"/>
      <c r="BK67" s="289"/>
      <c r="BL67" s="340"/>
      <c r="BM67" s="338"/>
      <c r="BN67" s="312"/>
      <c r="BO67" s="338"/>
      <c r="BP67" s="313"/>
      <c r="BQ67" s="20"/>
      <c r="BR67" s="338"/>
    </row>
    <row r="68" spans="1:70" x14ac:dyDescent="0.25">
      <c r="A68" s="286">
        <v>14</v>
      </c>
      <c r="B68" s="1" t="s">
        <v>95</v>
      </c>
      <c r="C68" s="2">
        <v>2</v>
      </c>
      <c r="D68" s="2">
        <v>1.002</v>
      </c>
      <c r="E68" s="314" t="s">
        <v>154</v>
      </c>
      <c r="O68" s="468"/>
      <c r="P68" s="475"/>
      <c r="Q68" s="447"/>
      <c r="R68" s="284" t="s">
        <v>222</v>
      </c>
      <c r="S68" s="288">
        <v>1.8586320621002632</v>
      </c>
      <c r="T68" s="472"/>
      <c r="W68" s="286">
        <v>14</v>
      </c>
      <c r="X68" s="287"/>
      <c r="Y68" s="284"/>
      <c r="Z68" s="288"/>
      <c r="AA68" s="289"/>
      <c r="AB68" s="290"/>
      <c r="AC68" s="286">
        <v>14</v>
      </c>
      <c r="AD68" s="287"/>
      <c r="AE68" s="284"/>
      <c r="AF68" s="288"/>
      <c r="AG68" s="289"/>
      <c r="AH68" s="290"/>
      <c r="AI68" s="286">
        <v>14</v>
      </c>
      <c r="AJ68" s="287"/>
      <c r="AK68" s="284"/>
      <c r="AL68" s="288"/>
      <c r="AM68" s="289"/>
      <c r="AN68" s="290"/>
      <c r="AO68" s="286"/>
      <c r="AP68" s="287"/>
      <c r="AQ68" s="284"/>
      <c r="AR68" s="288"/>
      <c r="AS68" s="289"/>
      <c r="AT68" s="290"/>
      <c r="AU68" s="286"/>
      <c r="AV68" s="287"/>
      <c r="AW68" s="284"/>
      <c r="AX68" s="288"/>
      <c r="AY68" s="289"/>
      <c r="AZ68" s="290"/>
      <c r="BA68" s="286"/>
      <c r="BB68" s="287"/>
      <c r="BC68" s="339"/>
      <c r="BD68" s="288"/>
      <c r="BE68" s="289"/>
      <c r="BF68" s="340"/>
      <c r="BG68" s="286"/>
      <c r="BH68" s="287"/>
      <c r="BI68" s="339"/>
      <c r="BJ68" s="288"/>
      <c r="BK68" s="289"/>
      <c r="BL68" s="340"/>
      <c r="BM68" s="338"/>
      <c r="BN68" s="312"/>
      <c r="BO68" s="338"/>
      <c r="BP68" s="313"/>
      <c r="BQ68" s="20"/>
      <c r="BR68" s="338"/>
    </row>
    <row r="69" spans="1:70" x14ac:dyDescent="0.25">
      <c r="A69" s="286">
        <v>15</v>
      </c>
      <c r="B69" s="1" t="s">
        <v>95</v>
      </c>
      <c r="C69" s="2">
        <v>3</v>
      </c>
      <c r="D69" s="2">
        <v>1.49</v>
      </c>
      <c r="E69" s="314" t="s">
        <v>154</v>
      </c>
      <c r="O69" s="468"/>
      <c r="P69" s="476"/>
      <c r="Q69" s="447"/>
      <c r="R69" s="284" t="s">
        <v>223</v>
      </c>
      <c r="S69" s="284" t="s">
        <v>363</v>
      </c>
      <c r="T69" s="473"/>
      <c r="W69" s="286">
        <v>15</v>
      </c>
      <c r="X69" s="287"/>
      <c r="Y69" s="284"/>
      <c r="Z69" s="288"/>
      <c r="AA69" s="289"/>
      <c r="AB69" s="290"/>
      <c r="AC69" s="286">
        <v>15</v>
      </c>
      <c r="AD69" s="287"/>
      <c r="AE69" s="284"/>
      <c r="AF69" s="288"/>
      <c r="AG69" s="289"/>
      <c r="AH69" s="290"/>
      <c r="AI69" s="286">
        <v>15</v>
      </c>
      <c r="AJ69" s="287"/>
      <c r="AK69" s="284"/>
      <c r="AL69" s="288"/>
      <c r="AM69" s="289"/>
      <c r="AN69" s="290"/>
      <c r="AO69" s="286"/>
      <c r="AP69" s="287"/>
      <c r="AQ69" s="284"/>
      <c r="AR69" s="288"/>
      <c r="AS69" s="289"/>
      <c r="AT69" s="290"/>
      <c r="AU69" s="286"/>
      <c r="AV69" s="287"/>
      <c r="AW69" s="284"/>
      <c r="AX69" s="288"/>
      <c r="AY69" s="289"/>
      <c r="AZ69" s="290"/>
      <c r="BA69" s="286"/>
      <c r="BB69" s="287"/>
      <c r="BC69" s="339"/>
      <c r="BD69" s="288"/>
      <c r="BE69" s="289"/>
      <c r="BF69" s="340"/>
      <c r="BG69" s="286"/>
      <c r="BH69" s="287"/>
      <c r="BI69" s="339"/>
      <c r="BJ69" s="288"/>
      <c r="BK69" s="289"/>
      <c r="BL69" s="340"/>
      <c r="BM69" s="338"/>
      <c r="BN69" s="312"/>
      <c r="BO69" s="338"/>
      <c r="BP69" s="313"/>
      <c r="BQ69" s="20"/>
      <c r="BR69" s="338"/>
    </row>
    <row r="70" spans="1:70" x14ac:dyDescent="0.25">
      <c r="A70" s="286">
        <v>16</v>
      </c>
      <c r="B70" s="1" t="s">
        <v>253</v>
      </c>
      <c r="C70" s="2">
        <v>1</v>
      </c>
      <c r="D70" s="2">
        <v>0.53</v>
      </c>
      <c r="E70" s="314" t="s">
        <v>154</v>
      </c>
      <c r="O70" s="468"/>
      <c r="P70" s="474" t="s">
        <v>73</v>
      </c>
      <c r="Q70" s="447"/>
      <c r="R70" s="284" t="s">
        <v>62</v>
      </c>
      <c r="S70" s="2">
        <v>0.85</v>
      </c>
      <c r="T70" s="445"/>
      <c r="W70" s="286">
        <v>16</v>
      </c>
      <c r="X70" s="287"/>
      <c r="Y70" s="284"/>
      <c r="Z70" s="288"/>
      <c r="AA70" s="289"/>
      <c r="AB70" s="290"/>
      <c r="AC70" s="286">
        <v>16</v>
      </c>
      <c r="AD70" s="287"/>
      <c r="AE70" s="284"/>
      <c r="AF70" s="288"/>
      <c r="AG70" s="289"/>
      <c r="AH70" s="290"/>
      <c r="AI70" s="286">
        <v>16</v>
      </c>
      <c r="AJ70" s="287"/>
      <c r="AK70" s="284"/>
      <c r="AL70" s="288"/>
      <c r="AM70" s="289"/>
      <c r="AN70" s="290"/>
      <c r="AO70" s="286"/>
      <c r="AP70" s="287"/>
      <c r="AQ70" s="284"/>
      <c r="AR70" s="288"/>
      <c r="AS70" s="289"/>
      <c r="AT70" s="290"/>
      <c r="AU70" s="286"/>
      <c r="AV70" s="287"/>
      <c r="AW70" s="284"/>
      <c r="AX70" s="288"/>
      <c r="AY70" s="289"/>
      <c r="AZ70" s="290"/>
      <c r="BA70" s="286"/>
      <c r="BB70" s="287"/>
      <c r="BC70" s="339"/>
      <c r="BD70" s="288"/>
      <c r="BE70" s="289"/>
      <c r="BF70" s="340"/>
      <c r="BG70" s="286"/>
      <c r="BH70" s="287"/>
      <c r="BI70" s="339"/>
      <c r="BJ70" s="288"/>
      <c r="BK70" s="289"/>
      <c r="BL70" s="340"/>
      <c r="BM70" s="338"/>
      <c r="BN70" s="312"/>
      <c r="BO70" s="338"/>
      <c r="BP70" s="313"/>
      <c r="BQ70" s="20"/>
      <c r="BR70" s="338"/>
    </row>
    <row r="71" spans="1:70" x14ac:dyDescent="0.25">
      <c r="A71" s="286">
        <v>17</v>
      </c>
      <c r="B71" s="1" t="s">
        <v>253</v>
      </c>
      <c r="C71" s="2">
        <v>2</v>
      </c>
      <c r="D71" s="2">
        <v>1.034</v>
      </c>
      <c r="E71" s="314" t="s">
        <v>154</v>
      </c>
      <c r="O71" s="468"/>
      <c r="P71" s="475"/>
      <c r="Q71" s="447"/>
      <c r="R71" s="284" t="s">
        <v>211</v>
      </c>
      <c r="S71" s="284">
        <v>1.06</v>
      </c>
      <c r="T71" s="445"/>
      <c r="W71" s="286">
        <v>17</v>
      </c>
      <c r="X71" s="287"/>
      <c r="Y71" s="284"/>
      <c r="Z71" s="288"/>
      <c r="AA71" s="289"/>
      <c r="AB71" s="290"/>
      <c r="AC71" s="286">
        <v>17</v>
      </c>
      <c r="AD71" s="287"/>
      <c r="AE71" s="284"/>
      <c r="AF71" s="288"/>
      <c r="AG71" s="289"/>
      <c r="AH71" s="290"/>
      <c r="AI71" s="286">
        <v>17</v>
      </c>
      <c r="AJ71" s="287"/>
      <c r="AK71" s="284"/>
      <c r="AL71" s="288"/>
      <c r="AM71" s="289"/>
      <c r="AN71" s="290"/>
      <c r="AO71" s="286"/>
      <c r="AP71" s="287"/>
      <c r="AQ71" s="284"/>
      <c r="AR71" s="288"/>
      <c r="AS71" s="289"/>
      <c r="AT71" s="290"/>
      <c r="AU71" s="286"/>
      <c r="AV71" s="287"/>
      <c r="AW71" s="284"/>
      <c r="AX71" s="288"/>
      <c r="AY71" s="289"/>
      <c r="AZ71" s="290"/>
      <c r="BA71" s="286"/>
      <c r="BB71" s="287"/>
      <c r="BC71" s="339"/>
      <c r="BD71" s="288"/>
      <c r="BE71" s="289"/>
      <c r="BF71" s="340"/>
      <c r="BG71" s="286"/>
      <c r="BH71" s="287"/>
      <c r="BI71" s="339"/>
      <c r="BJ71" s="288"/>
      <c r="BK71" s="289"/>
      <c r="BL71" s="340"/>
      <c r="BM71" s="338"/>
      <c r="BN71" s="312"/>
      <c r="BO71" s="338"/>
      <c r="BP71" s="313"/>
      <c r="BQ71" s="20"/>
      <c r="BR71" s="338"/>
    </row>
    <row r="72" spans="1:70" x14ac:dyDescent="0.25">
      <c r="A72" s="286">
        <v>18</v>
      </c>
      <c r="B72" s="1" t="s">
        <v>253</v>
      </c>
      <c r="C72" s="2">
        <v>3</v>
      </c>
      <c r="D72" s="2">
        <v>1.538</v>
      </c>
      <c r="E72" s="314" t="s">
        <v>154</v>
      </c>
      <c r="O72" s="468"/>
      <c r="P72" s="475"/>
      <c r="Q72" s="447"/>
      <c r="R72" s="284" t="s">
        <v>219</v>
      </c>
      <c r="S72" s="288">
        <v>2.877814009951608E-2</v>
      </c>
      <c r="T72" s="445"/>
      <c r="W72" s="286">
        <v>18</v>
      </c>
      <c r="X72" s="287"/>
      <c r="Y72" s="284"/>
      <c r="Z72" s="288"/>
      <c r="AA72" s="289"/>
      <c r="AB72" s="290"/>
      <c r="AC72" s="286">
        <v>18</v>
      </c>
      <c r="AD72" s="287"/>
      <c r="AE72" s="284"/>
      <c r="AF72" s="288"/>
      <c r="AG72" s="289"/>
      <c r="AH72" s="290"/>
      <c r="AI72" s="286">
        <v>18</v>
      </c>
      <c r="AJ72" s="287"/>
      <c r="AK72" s="284"/>
      <c r="AL72" s="288"/>
      <c r="AM72" s="289"/>
      <c r="AN72" s="290"/>
      <c r="AO72" s="286"/>
      <c r="AP72" s="287"/>
      <c r="AQ72" s="284"/>
      <c r="AR72" s="288"/>
      <c r="AS72" s="289"/>
      <c r="AT72" s="290"/>
      <c r="AU72" s="286"/>
      <c r="AV72" s="287"/>
      <c r="AW72" s="284"/>
      <c r="AX72" s="288"/>
      <c r="AY72" s="289"/>
      <c r="AZ72" s="290"/>
      <c r="BA72" s="286"/>
      <c r="BB72" s="287"/>
      <c r="BC72" s="339"/>
      <c r="BD72" s="288"/>
      <c r="BE72" s="289"/>
      <c r="BF72" s="340"/>
      <c r="BG72" s="286"/>
      <c r="BH72" s="287"/>
      <c r="BI72" s="339"/>
      <c r="BJ72" s="288"/>
      <c r="BK72" s="289"/>
      <c r="BL72" s="340"/>
      <c r="BM72" s="338"/>
      <c r="BN72" s="312"/>
      <c r="BO72" s="338"/>
      <c r="BP72" s="313"/>
      <c r="BQ72" s="20"/>
      <c r="BR72" s="338"/>
    </row>
    <row r="73" spans="1:70" x14ac:dyDescent="0.25">
      <c r="A73" s="286">
        <v>19</v>
      </c>
      <c r="B73" s="1" t="s">
        <v>254</v>
      </c>
      <c r="C73" s="2">
        <v>1</v>
      </c>
      <c r="D73" s="2">
        <v>0.55000000000000004</v>
      </c>
      <c r="E73" s="314" t="s">
        <v>154</v>
      </c>
      <c r="O73" s="468"/>
      <c r="P73" s="475"/>
      <c r="Q73" s="447"/>
      <c r="R73" s="284" t="s">
        <v>224</v>
      </c>
      <c r="S73" s="284" t="s">
        <v>339</v>
      </c>
      <c r="T73" s="445"/>
      <c r="W73" s="286">
        <v>19</v>
      </c>
      <c r="X73" s="287"/>
      <c r="Y73" s="284"/>
      <c r="Z73" s="288"/>
      <c r="AA73" s="289"/>
      <c r="AB73" s="290"/>
      <c r="AC73" s="286">
        <v>19</v>
      </c>
      <c r="AD73" s="287"/>
      <c r="AE73" s="284"/>
      <c r="AF73" s="288"/>
      <c r="AG73" s="289"/>
      <c r="AH73" s="290"/>
      <c r="AI73" s="286">
        <v>19</v>
      </c>
      <c r="AJ73" s="287"/>
      <c r="AK73" s="284"/>
      <c r="AL73" s="288"/>
      <c r="AM73" s="289"/>
      <c r="AN73" s="290"/>
      <c r="AO73" s="286"/>
      <c r="AP73" s="287"/>
      <c r="AQ73" s="284"/>
      <c r="AR73" s="288"/>
      <c r="AS73" s="289"/>
      <c r="AT73" s="290"/>
      <c r="AU73" s="286"/>
      <c r="AV73" s="287"/>
      <c r="AW73" s="284"/>
      <c r="AX73" s="288"/>
      <c r="AY73" s="289"/>
      <c r="AZ73" s="290"/>
      <c r="BA73" s="286"/>
      <c r="BB73" s="287"/>
      <c r="BC73" s="339"/>
      <c r="BD73" s="288"/>
      <c r="BE73" s="289"/>
      <c r="BF73" s="340"/>
      <c r="BG73" s="286"/>
      <c r="BH73" s="287"/>
      <c r="BI73" s="339"/>
      <c r="BJ73" s="288"/>
      <c r="BK73" s="289"/>
      <c r="BL73" s="340"/>
      <c r="BM73" s="338"/>
      <c r="BN73" s="312"/>
      <c r="BO73" s="338"/>
      <c r="BP73" s="313"/>
      <c r="BQ73" s="20"/>
      <c r="BR73" s="338"/>
    </row>
    <row r="74" spans="1:70" x14ac:dyDescent="0.25">
      <c r="A74" s="286">
        <v>20</v>
      </c>
      <c r="B74" s="1" t="s">
        <v>254</v>
      </c>
      <c r="C74" s="2">
        <v>2</v>
      </c>
      <c r="D74" s="2">
        <v>1.07</v>
      </c>
      <c r="E74" s="314" t="s">
        <v>154</v>
      </c>
      <c r="O74" s="468"/>
      <c r="P74" s="475"/>
      <c r="Q74" s="447"/>
      <c r="R74" s="284" t="s">
        <v>225</v>
      </c>
      <c r="S74" s="284" t="s">
        <v>338</v>
      </c>
      <c r="T74" s="445"/>
      <c r="W74" s="286">
        <v>20</v>
      </c>
      <c r="X74" s="287"/>
      <c r="Y74" s="284"/>
      <c r="Z74" s="288"/>
      <c r="AA74" s="289"/>
      <c r="AB74" s="290"/>
      <c r="AC74" s="286">
        <v>20</v>
      </c>
      <c r="AD74" s="287"/>
      <c r="AE74" s="284"/>
      <c r="AF74" s="288"/>
      <c r="AG74" s="289"/>
      <c r="AH74" s="290"/>
      <c r="AI74" s="286">
        <v>20</v>
      </c>
      <c r="AJ74" s="287"/>
      <c r="AK74" s="284"/>
      <c r="AL74" s="288"/>
      <c r="AM74" s="289"/>
      <c r="AN74" s="290"/>
      <c r="AO74" s="286"/>
      <c r="AP74" s="287"/>
      <c r="AQ74" s="284"/>
      <c r="AR74" s="288"/>
      <c r="AS74" s="289"/>
      <c r="AT74" s="290"/>
      <c r="AU74" s="286"/>
      <c r="AV74" s="287"/>
      <c r="AW74" s="284"/>
      <c r="AX74" s="288"/>
      <c r="AY74" s="289"/>
      <c r="AZ74" s="290"/>
      <c r="BA74" s="286"/>
      <c r="BB74" s="287"/>
      <c r="BC74" s="339"/>
      <c r="BD74" s="288"/>
      <c r="BE74" s="289"/>
      <c r="BF74" s="340"/>
      <c r="BG74" s="286"/>
      <c r="BH74" s="287"/>
      <c r="BI74" s="339"/>
      <c r="BJ74" s="288"/>
      <c r="BK74" s="289"/>
      <c r="BL74" s="340"/>
      <c r="BM74" s="338"/>
      <c r="BN74" s="312"/>
      <c r="BO74" s="338"/>
      <c r="BP74" s="313"/>
      <c r="BQ74" s="20"/>
      <c r="BR74" s="338"/>
    </row>
    <row r="75" spans="1:70" x14ac:dyDescent="0.25">
      <c r="A75" s="286">
        <v>21</v>
      </c>
      <c r="B75" s="1" t="s">
        <v>254</v>
      </c>
      <c r="C75" s="2">
        <v>3</v>
      </c>
      <c r="D75" s="2">
        <v>1.591</v>
      </c>
      <c r="E75" s="314" t="s">
        <v>154</v>
      </c>
      <c r="O75" s="468"/>
      <c r="P75" s="475"/>
      <c r="Q75" s="447"/>
      <c r="R75" s="284" t="s">
        <v>222</v>
      </c>
      <c r="S75" s="288">
        <v>1.1454360382710926</v>
      </c>
      <c r="T75" s="445"/>
      <c r="W75" s="286">
        <v>21</v>
      </c>
      <c r="X75" s="287"/>
      <c r="Y75" s="284"/>
      <c r="Z75" s="288"/>
      <c r="AA75" s="289"/>
      <c r="AB75" s="290"/>
      <c r="AC75" s="286">
        <v>21</v>
      </c>
      <c r="AD75" s="287"/>
      <c r="AE75" s="284"/>
      <c r="AF75" s="288"/>
      <c r="AG75" s="289"/>
      <c r="AH75" s="290"/>
      <c r="AI75" s="286">
        <v>21</v>
      </c>
      <c r="AJ75" s="287"/>
      <c r="AK75" s="284"/>
      <c r="AL75" s="288"/>
      <c r="AM75" s="289"/>
      <c r="AN75" s="290"/>
      <c r="AO75" s="286"/>
      <c r="AP75" s="287"/>
      <c r="AQ75" s="284"/>
      <c r="AR75" s="288"/>
      <c r="AS75" s="289"/>
      <c r="AT75" s="290"/>
      <c r="AU75" s="286"/>
      <c r="AV75" s="287"/>
      <c r="AW75" s="284"/>
      <c r="AX75" s="288"/>
      <c r="AY75" s="289"/>
      <c r="AZ75" s="290"/>
      <c r="BA75" s="286"/>
      <c r="BB75" s="287"/>
      <c r="BC75" s="339"/>
      <c r="BD75" s="288"/>
      <c r="BE75" s="289"/>
      <c r="BF75" s="340"/>
      <c r="BG75" s="286"/>
      <c r="BH75" s="287"/>
      <c r="BI75" s="339"/>
      <c r="BJ75" s="288"/>
      <c r="BK75" s="289"/>
      <c r="BL75" s="340"/>
      <c r="BM75" s="338"/>
      <c r="BN75" s="312"/>
      <c r="BO75" s="338"/>
      <c r="BP75" s="313"/>
      <c r="BQ75" s="20"/>
      <c r="BR75" s="338"/>
    </row>
    <row r="76" spans="1:70" ht="15.75" thickBot="1" x14ac:dyDescent="0.3">
      <c r="A76" s="286">
        <v>22</v>
      </c>
      <c r="B76" s="1" t="s">
        <v>255</v>
      </c>
      <c r="C76" s="2">
        <v>1</v>
      </c>
      <c r="D76" s="2">
        <v>0.55300000000000005</v>
      </c>
      <c r="E76" s="314" t="s">
        <v>154</v>
      </c>
      <c r="O76" s="469"/>
      <c r="P76" s="477"/>
      <c r="Q76" s="478"/>
      <c r="R76" s="3" t="s">
        <v>226</v>
      </c>
      <c r="S76" s="3" t="s">
        <v>364</v>
      </c>
      <c r="T76" s="446"/>
      <c r="W76" s="286">
        <v>22</v>
      </c>
      <c r="X76" s="287"/>
      <c r="Y76" s="284"/>
      <c r="Z76" s="288"/>
      <c r="AA76" s="289"/>
      <c r="AB76" s="290"/>
      <c r="AC76" s="286">
        <v>22</v>
      </c>
      <c r="AD76" s="287"/>
      <c r="AE76" s="284"/>
      <c r="AF76" s="288"/>
      <c r="AG76" s="289"/>
      <c r="AH76" s="290"/>
      <c r="AI76" s="286">
        <v>22</v>
      </c>
      <c r="AJ76" s="287"/>
      <c r="AK76" s="284"/>
      <c r="AL76" s="288"/>
      <c r="AM76" s="289"/>
      <c r="AN76" s="290"/>
      <c r="AO76" s="286"/>
      <c r="AP76" s="287"/>
      <c r="AQ76" s="284"/>
      <c r="AR76" s="288"/>
      <c r="AS76" s="289"/>
      <c r="AT76" s="290"/>
      <c r="AU76" s="286"/>
      <c r="AV76" s="287"/>
      <c r="AW76" s="284"/>
      <c r="AX76" s="288"/>
      <c r="AY76" s="289"/>
      <c r="AZ76" s="290"/>
      <c r="BA76" s="286"/>
      <c r="BB76" s="287"/>
      <c r="BC76" s="339"/>
      <c r="BD76" s="288"/>
      <c r="BE76" s="289"/>
      <c r="BF76" s="340"/>
      <c r="BG76" s="286"/>
      <c r="BH76" s="287"/>
      <c r="BI76" s="339"/>
      <c r="BJ76" s="288"/>
      <c r="BK76" s="289"/>
      <c r="BL76" s="340"/>
      <c r="BM76" s="338"/>
      <c r="BN76" s="312"/>
      <c r="BO76" s="338"/>
      <c r="BP76" s="313"/>
      <c r="BQ76" s="20"/>
      <c r="BR76" s="338"/>
    </row>
    <row r="77" spans="1:70" x14ac:dyDescent="0.25">
      <c r="A77" s="286">
        <v>23</v>
      </c>
      <c r="B77" s="1" t="s">
        <v>255</v>
      </c>
      <c r="C77" s="2">
        <v>2</v>
      </c>
      <c r="D77" s="2">
        <v>1.079</v>
      </c>
      <c r="E77" s="314" t="s">
        <v>154</v>
      </c>
      <c r="W77" s="286">
        <v>23</v>
      </c>
      <c r="X77" s="287"/>
      <c r="Y77" s="284"/>
      <c r="Z77" s="288"/>
      <c r="AA77" s="289"/>
      <c r="AB77" s="290"/>
      <c r="AC77" s="286">
        <v>23</v>
      </c>
      <c r="AD77" s="287"/>
      <c r="AE77" s="284"/>
      <c r="AF77" s="288"/>
      <c r="AG77" s="289"/>
      <c r="AH77" s="290"/>
      <c r="AI77" s="286">
        <v>23</v>
      </c>
      <c r="AJ77" s="287"/>
      <c r="AK77" s="284"/>
      <c r="AL77" s="288"/>
      <c r="AM77" s="289"/>
      <c r="AN77" s="290"/>
      <c r="AO77" s="286"/>
      <c r="AP77" s="287"/>
      <c r="AQ77" s="284"/>
      <c r="AR77" s="288"/>
      <c r="AS77" s="289"/>
      <c r="AT77" s="290"/>
      <c r="AU77" s="286"/>
      <c r="AV77" s="287"/>
      <c r="AW77" s="284"/>
      <c r="AX77" s="288"/>
      <c r="AY77" s="289"/>
      <c r="AZ77" s="290"/>
      <c r="BA77" s="286"/>
      <c r="BB77" s="287"/>
      <c r="BC77" s="339"/>
      <c r="BD77" s="288"/>
      <c r="BE77" s="289"/>
      <c r="BF77" s="340"/>
      <c r="BG77" s="286"/>
      <c r="BH77" s="287"/>
      <c r="BI77" s="339"/>
      <c r="BJ77" s="288"/>
      <c r="BK77" s="289"/>
      <c r="BL77" s="340"/>
      <c r="BM77" s="338"/>
      <c r="BN77" s="312"/>
      <c r="BO77" s="338"/>
      <c r="BP77" s="313"/>
      <c r="BQ77" s="20"/>
      <c r="BR77" s="338"/>
    </row>
    <row r="78" spans="1:70" x14ac:dyDescent="0.25">
      <c r="A78" s="286">
        <v>24</v>
      </c>
      <c r="B78" s="1" t="s">
        <v>255</v>
      </c>
      <c r="C78" s="2">
        <v>3</v>
      </c>
      <c r="D78" s="2">
        <v>1.605</v>
      </c>
      <c r="E78" s="314" t="s">
        <v>154</v>
      </c>
      <c r="W78" s="286">
        <v>24</v>
      </c>
      <c r="X78" s="287"/>
      <c r="Y78" s="284"/>
      <c r="Z78" s="288"/>
      <c r="AA78" s="289"/>
      <c r="AB78" s="290"/>
      <c r="AC78" s="286">
        <v>24</v>
      </c>
      <c r="AD78" s="287"/>
      <c r="AE78" s="284"/>
      <c r="AF78" s="288"/>
      <c r="AG78" s="289"/>
      <c r="AH78" s="290"/>
      <c r="AI78" s="286">
        <v>24</v>
      </c>
      <c r="AJ78" s="287"/>
      <c r="AK78" s="284"/>
      <c r="AL78" s="288"/>
      <c r="AM78" s="289"/>
      <c r="AN78" s="290"/>
      <c r="AO78" s="286"/>
      <c r="AP78" s="287"/>
      <c r="AQ78" s="284"/>
      <c r="AR78" s="288"/>
      <c r="AS78" s="289"/>
      <c r="AT78" s="290"/>
      <c r="AU78" s="286"/>
      <c r="AV78" s="287"/>
      <c r="AW78" s="284"/>
      <c r="AX78" s="288"/>
      <c r="AY78" s="289"/>
      <c r="AZ78" s="290"/>
      <c r="BA78" s="286"/>
      <c r="BB78" s="287"/>
      <c r="BC78" s="339"/>
      <c r="BD78" s="288"/>
      <c r="BE78" s="289"/>
      <c r="BF78" s="340"/>
      <c r="BG78" s="286"/>
      <c r="BH78" s="287"/>
      <c r="BI78" s="339"/>
      <c r="BJ78" s="288"/>
      <c r="BK78" s="289"/>
      <c r="BL78" s="340"/>
      <c r="BM78" s="338"/>
      <c r="BN78" s="312"/>
      <c r="BO78" s="338"/>
      <c r="BP78" s="313"/>
      <c r="BQ78" s="20"/>
      <c r="BR78" s="338"/>
    </row>
    <row r="79" spans="1:70" x14ac:dyDescent="0.25">
      <c r="A79" s="286">
        <v>25</v>
      </c>
      <c r="B79" s="1"/>
      <c r="C79" s="2"/>
      <c r="D79" s="2"/>
      <c r="E79" s="314"/>
      <c r="W79" s="286">
        <v>25</v>
      </c>
      <c r="X79" s="287"/>
      <c r="Y79" s="284"/>
      <c r="Z79" s="288"/>
      <c r="AA79" s="289"/>
      <c r="AB79" s="290"/>
      <c r="AC79" s="286">
        <v>25</v>
      </c>
      <c r="AD79" s="287"/>
      <c r="AE79" s="284"/>
      <c r="AF79" s="288"/>
      <c r="AG79" s="289"/>
      <c r="AH79" s="290"/>
      <c r="AI79" s="286">
        <v>25</v>
      </c>
      <c r="AJ79" s="287"/>
      <c r="AK79" s="284"/>
      <c r="AL79" s="288"/>
      <c r="AM79" s="289"/>
      <c r="AN79" s="290"/>
      <c r="AO79" s="286"/>
      <c r="AP79" s="287"/>
      <c r="AQ79" s="284"/>
      <c r="AR79" s="288"/>
      <c r="AS79" s="289"/>
      <c r="AT79" s="290"/>
      <c r="AU79" s="286"/>
      <c r="AV79" s="287"/>
      <c r="AW79" s="284"/>
      <c r="AX79" s="288"/>
      <c r="AY79" s="289"/>
      <c r="AZ79" s="290"/>
      <c r="BA79" s="286"/>
      <c r="BB79" s="287"/>
      <c r="BC79" s="339"/>
      <c r="BD79" s="288"/>
      <c r="BE79" s="289"/>
      <c r="BF79" s="340"/>
      <c r="BG79" s="286"/>
      <c r="BH79" s="287"/>
      <c r="BI79" s="339"/>
      <c r="BJ79" s="288"/>
      <c r="BK79" s="289"/>
      <c r="BL79" s="340"/>
      <c r="BM79" s="338"/>
      <c r="BN79" s="312"/>
      <c r="BO79" s="338"/>
      <c r="BP79" s="313"/>
      <c r="BQ79" s="20"/>
      <c r="BR79" s="338"/>
    </row>
    <row r="80" spans="1:70" x14ac:dyDescent="0.25">
      <c r="A80" s="286">
        <v>26</v>
      </c>
      <c r="B80" s="1"/>
      <c r="C80" s="2"/>
      <c r="D80" s="2"/>
      <c r="E80" s="314"/>
      <c r="W80" s="286">
        <v>26</v>
      </c>
      <c r="X80" s="287"/>
      <c r="Y80" s="284"/>
      <c r="Z80" s="288"/>
      <c r="AA80" s="289"/>
      <c r="AB80" s="290"/>
      <c r="AC80" s="286">
        <v>26</v>
      </c>
      <c r="AD80" s="287"/>
      <c r="AE80" s="284"/>
      <c r="AF80" s="288"/>
      <c r="AG80" s="289"/>
      <c r="AH80" s="290"/>
      <c r="AI80" s="286">
        <v>26</v>
      </c>
      <c r="AJ80" s="287"/>
      <c r="AK80" s="284"/>
      <c r="AL80" s="288"/>
      <c r="AM80" s="289"/>
      <c r="AN80" s="290"/>
      <c r="AO80" s="286"/>
      <c r="AP80" s="287"/>
      <c r="AQ80" s="284"/>
      <c r="AR80" s="288"/>
      <c r="AS80" s="289"/>
      <c r="AT80" s="290"/>
      <c r="AU80" s="286"/>
      <c r="AV80" s="287"/>
      <c r="AW80" s="284"/>
      <c r="AX80" s="288"/>
      <c r="AY80" s="289"/>
      <c r="AZ80" s="290"/>
      <c r="BA80" s="286"/>
      <c r="BB80" s="287"/>
      <c r="BC80" s="339"/>
      <c r="BD80" s="288"/>
      <c r="BE80" s="289"/>
      <c r="BF80" s="340"/>
      <c r="BG80" s="286"/>
      <c r="BH80" s="287"/>
      <c r="BI80" s="339"/>
      <c r="BJ80" s="288"/>
      <c r="BK80" s="289"/>
      <c r="BL80" s="340"/>
      <c r="BM80" s="338"/>
      <c r="BN80" s="312"/>
      <c r="BO80" s="338"/>
      <c r="BP80" s="313"/>
      <c r="BQ80" s="20"/>
      <c r="BR80" s="338"/>
    </row>
    <row r="81" spans="1:70" x14ac:dyDescent="0.25">
      <c r="A81" s="286">
        <v>27</v>
      </c>
      <c r="B81" s="1"/>
      <c r="C81" s="2"/>
      <c r="D81" s="2"/>
      <c r="E81" s="314"/>
      <c r="W81" s="286">
        <v>27</v>
      </c>
      <c r="X81" s="287"/>
      <c r="Y81" s="284"/>
      <c r="Z81" s="288"/>
      <c r="AA81" s="289"/>
      <c r="AB81" s="290"/>
      <c r="AC81" s="286">
        <v>27</v>
      </c>
      <c r="AD81" s="287"/>
      <c r="AE81" s="284"/>
      <c r="AF81" s="288"/>
      <c r="AG81" s="289"/>
      <c r="AH81" s="290"/>
      <c r="AI81" s="286">
        <v>27</v>
      </c>
      <c r="AJ81" s="287"/>
      <c r="AK81" s="284"/>
      <c r="AL81" s="288"/>
      <c r="AM81" s="289"/>
      <c r="AN81" s="290"/>
      <c r="AO81" s="286"/>
      <c r="AP81" s="287"/>
      <c r="AQ81" s="284"/>
      <c r="AR81" s="288"/>
      <c r="AS81" s="289"/>
      <c r="AT81" s="290"/>
      <c r="AU81" s="286"/>
      <c r="AV81" s="287"/>
      <c r="AW81" s="284"/>
      <c r="AX81" s="288"/>
      <c r="AY81" s="289"/>
      <c r="AZ81" s="290"/>
      <c r="BA81" s="286"/>
      <c r="BB81" s="287"/>
      <c r="BC81" s="339"/>
      <c r="BD81" s="288"/>
      <c r="BE81" s="289"/>
      <c r="BF81" s="340"/>
      <c r="BG81" s="286"/>
      <c r="BH81" s="287"/>
      <c r="BI81" s="339"/>
      <c r="BJ81" s="288"/>
      <c r="BK81" s="289"/>
      <c r="BL81" s="340"/>
      <c r="BM81" s="338"/>
      <c r="BN81" s="312"/>
      <c r="BO81" s="338"/>
      <c r="BP81" s="313"/>
      <c r="BQ81" s="20"/>
      <c r="BR81" s="338"/>
    </row>
    <row r="82" spans="1:70" x14ac:dyDescent="0.25">
      <c r="A82" s="286">
        <v>28</v>
      </c>
      <c r="B82" s="1"/>
      <c r="C82" s="2"/>
      <c r="D82" s="2"/>
      <c r="E82" s="314"/>
      <c r="W82" s="286">
        <v>28</v>
      </c>
      <c r="X82" s="287"/>
      <c r="Y82" s="284"/>
      <c r="Z82" s="288"/>
      <c r="AA82" s="289"/>
      <c r="AB82" s="290"/>
      <c r="AC82" s="286">
        <v>28</v>
      </c>
      <c r="AD82" s="287"/>
      <c r="AE82" s="284"/>
      <c r="AF82" s="288"/>
      <c r="AG82" s="289"/>
      <c r="AH82" s="290"/>
      <c r="AI82" s="286">
        <v>28</v>
      </c>
      <c r="AJ82" s="287"/>
      <c r="AK82" s="284"/>
      <c r="AL82" s="288"/>
      <c r="AM82" s="289"/>
      <c r="AN82" s="290"/>
      <c r="AO82" s="286"/>
      <c r="AP82" s="287"/>
      <c r="AQ82" s="284"/>
      <c r="AR82" s="288"/>
      <c r="AS82" s="289"/>
      <c r="AT82" s="290"/>
      <c r="AU82" s="286"/>
      <c r="AV82" s="287"/>
      <c r="AW82" s="284"/>
      <c r="AX82" s="288"/>
      <c r="AY82" s="289"/>
      <c r="AZ82" s="290"/>
      <c r="BA82" s="286"/>
      <c r="BB82" s="287"/>
      <c r="BC82" s="339"/>
      <c r="BD82" s="288"/>
      <c r="BE82" s="289"/>
      <c r="BF82" s="340"/>
      <c r="BG82" s="286"/>
      <c r="BH82" s="287"/>
      <c r="BI82" s="339"/>
      <c r="BJ82" s="288"/>
      <c r="BK82" s="289"/>
      <c r="BL82" s="340"/>
      <c r="BM82" s="338"/>
      <c r="BN82" s="312"/>
      <c r="BO82" s="338"/>
      <c r="BP82" s="313"/>
      <c r="BQ82" s="20"/>
      <c r="BR82" s="338"/>
    </row>
    <row r="83" spans="1:70" x14ac:dyDescent="0.25">
      <c r="A83" s="286">
        <v>29</v>
      </c>
      <c r="B83" s="1"/>
      <c r="C83" s="2"/>
      <c r="D83" s="2"/>
      <c r="E83" s="314"/>
      <c r="W83" s="286">
        <v>29</v>
      </c>
      <c r="X83" s="287"/>
      <c r="Y83" s="284"/>
      <c r="Z83" s="288"/>
      <c r="AA83" s="289"/>
      <c r="AB83" s="290"/>
      <c r="AC83" s="286">
        <v>29</v>
      </c>
      <c r="AD83" s="287"/>
      <c r="AE83" s="284"/>
      <c r="AF83" s="288"/>
      <c r="AG83" s="289"/>
      <c r="AH83" s="290"/>
      <c r="AI83" s="286">
        <v>29</v>
      </c>
      <c r="AJ83" s="287"/>
      <c r="AK83" s="284"/>
      <c r="AL83" s="288"/>
      <c r="AM83" s="289"/>
      <c r="AN83" s="290"/>
      <c r="AO83" s="286"/>
      <c r="AP83" s="287"/>
      <c r="AQ83" s="284"/>
      <c r="AR83" s="288"/>
      <c r="AS83" s="289"/>
      <c r="AT83" s="290"/>
      <c r="AU83" s="286"/>
      <c r="AV83" s="287"/>
      <c r="AW83" s="284"/>
      <c r="AX83" s="288"/>
      <c r="AY83" s="289"/>
      <c r="AZ83" s="290"/>
      <c r="BA83" s="286"/>
      <c r="BB83" s="287"/>
      <c r="BC83" s="339"/>
      <c r="BD83" s="288"/>
      <c r="BE83" s="289"/>
      <c r="BF83" s="340"/>
      <c r="BG83" s="286"/>
      <c r="BH83" s="287"/>
      <c r="BI83" s="339"/>
      <c r="BJ83" s="288"/>
      <c r="BK83" s="289"/>
      <c r="BL83" s="340"/>
      <c r="BM83" s="338"/>
      <c r="BN83" s="312"/>
      <c r="BO83" s="338"/>
      <c r="BP83" s="313"/>
      <c r="BQ83" s="20"/>
      <c r="BR83" s="338"/>
    </row>
    <row r="84" spans="1:70" x14ac:dyDescent="0.25">
      <c r="A84" s="286">
        <v>30</v>
      </c>
      <c r="B84" s="1"/>
      <c r="C84" s="2"/>
      <c r="D84" s="2"/>
      <c r="E84" s="314"/>
      <c r="W84" s="286">
        <v>30</v>
      </c>
      <c r="X84" s="287"/>
      <c r="Y84" s="284"/>
      <c r="Z84" s="288"/>
      <c r="AA84" s="289"/>
      <c r="AB84" s="290"/>
      <c r="AC84" s="286">
        <v>30</v>
      </c>
      <c r="AD84" s="287"/>
      <c r="AE84" s="284"/>
      <c r="AF84" s="288"/>
      <c r="AG84" s="289"/>
      <c r="AH84" s="290"/>
      <c r="AI84" s="286">
        <v>30</v>
      </c>
      <c r="AJ84" s="287"/>
      <c r="AK84" s="284"/>
      <c r="AL84" s="288"/>
      <c r="AM84" s="289"/>
      <c r="AN84" s="290"/>
      <c r="AO84" s="286"/>
      <c r="AP84" s="287"/>
      <c r="AQ84" s="284"/>
      <c r="AR84" s="288"/>
      <c r="AS84" s="289"/>
      <c r="AT84" s="290"/>
      <c r="AU84" s="286"/>
      <c r="AV84" s="287"/>
      <c r="AW84" s="284"/>
      <c r="AX84" s="288"/>
      <c r="AY84" s="289"/>
      <c r="AZ84" s="290"/>
      <c r="BA84" s="286"/>
      <c r="BB84" s="287"/>
      <c r="BC84" s="339"/>
      <c r="BD84" s="288"/>
      <c r="BE84" s="289"/>
      <c r="BF84" s="340"/>
      <c r="BG84" s="286"/>
      <c r="BH84" s="287"/>
      <c r="BI84" s="339"/>
      <c r="BJ84" s="288"/>
      <c r="BK84" s="289"/>
      <c r="BL84" s="340"/>
      <c r="BM84" s="338"/>
      <c r="BN84" s="312"/>
      <c r="BO84" s="338"/>
      <c r="BP84" s="313"/>
      <c r="BQ84" s="20"/>
      <c r="BR84" s="338"/>
    </row>
    <row r="85" spans="1:70" ht="15.75" thickBot="1" x14ac:dyDescent="0.3">
      <c r="A85" s="286">
        <v>31</v>
      </c>
      <c r="B85" s="1"/>
      <c r="C85" s="2"/>
      <c r="D85" s="2"/>
      <c r="E85" s="314"/>
      <c r="W85" s="291" t="s">
        <v>28</v>
      </c>
      <c r="X85" s="322"/>
      <c r="Y85" s="293">
        <v>4.1379999999999999</v>
      </c>
      <c r="Z85" s="294"/>
      <c r="AA85" s="5">
        <v>4.6355000000000077E-3</v>
      </c>
      <c r="AB85" s="295"/>
      <c r="AC85" s="291" t="s">
        <v>28</v>
      </c>
      <c r="AD85" s="322"/>
      <c r="AE85" s="293">
        <v>8.0609999999999999</v>
      </c>
      <c r="AF85" s="294"/>
      <c r="AG85" s="5">
        <v>1.7893875000000017E-2</v>
      </c>
      <c r="AH85" s="295"/>
      <c r="AI85" s="291" t="s">
        <v>28</v>
      </c>
      <c r="AJ85" s="322"/>
      <c r="AK85" s="293">
        <v>11.987</v>
      </c>
      <c r="AL85" s="294"/>
      <c r="AM85" s="5">
        <v>3.9907874999999975E-2</v>
      </c>
      <c r="AN85" s="295"/>
      <c r="AO85" s="291"/>
      <c r="AP85" s="322"/>
      <c r="AQ85" s="293"/>
      <c r="AR85" s="294"/>
      <c r="AS85" s="5"/>
      <c r="AT85" s="295"/>
      <c r="AU85" s="291"/>
      <c r="AV85" s="322"/>
      <c r="AW85" s="293"/>
      <c r="AX85" s="294"/>
      <c r="AY85" s="5"/>
      <c r="AZ85" s="295"/>
      <c r="BA85" s="291"/>
      <c r="BB85" s="322"/>
      <c r="BC85" s="293"/>
      <c r="BD85" s="294"/>
      <c r="BE85" s="5"/>
      <c r="BF85" s="295"/>
      <c r="BG85" s="291"/>
      <c r="BH85" s="322"/>
      <c r="BI85" s="293"/>
      <c r="BJ85" s="294"/>
      <c r="BK85" s="5"/>
      <c r="BL85" s="295"/>
      <c r="BM85" s="338"/>
      <c r="BN85" s="323"/>
      <c r="BO85" s="338"/>
      <c r="BP85" s="313"/>
      <c r="BQ85" s="20"/>
      <c r="BR85" s="338"/>
    </row>
    <row r="86" spans="1:70" x14ac:dyDescent="0.25">
      <c r="A86" s="286">
        <v>32</v>
      </c>
      <c r="B86" s="1"/>
      <c r="C86" s="2"/>
      <c r="D86" s="2"/>
      <c r="E86" s="314"/>
      <c r="W86" s="451" t="s">
        <v>30</v>
      </c>
      <c r="X86" s="297" t="s">
        <v>24</v>
      </c>
      <c r="Y86" s="297">
        <v>8</v>
      </c>
      <c r="Z86" s="297" t="s">
        <v>75</v>
      </c>
      <c r="AA86" s="297">
        <v>2.27</v>
      </c>
      <c r="AB86" s="452" t="s">
        <v>169</v>
      </c>
      <c r="AC86" s="451" t="s">
        <v>30</v>
      </c>
      <c r="AD86" s="297" t="s">
        <v>24</v>
      </c>
      <c r="AE86" s="297">
        <v>8</v>
      </c>
      <c r="AF86" s="297" t="s">
        <v>75</v>
      </c>
      <c r="AG86" s="297">
        <v>2.27</v>
      </c>
      <c r="AH86" s="452" t="s">
        <v>169</v>
      </c>
      <c r="AI86" s="451" t="s">
        <v>30</v>
      </c>
      <c r="AJ86" s="297" t="s">
        <v>24</v>
      </c>
      <c r="AK86" s="297">
        <v>8</v>
      </c>
      <c r="AL86" s="297" t="s">
        <v>75</v>
      </c>
      <c r="AM86" s="297">
        <v>2.27</v>
      </c>
      <c r="AN86" s="452" t="s">
        <v>169</v>
      </c>
      <c r="AO86" s="451"/>
      <c r="AP86" s="297"/>
      <c r="AQ86" s="297"/>
      <c r="AR86" s="297"/>
      <c r="AS86" s="297"/>
      <c r="AT86" s="452"/>
      <c r="AU86" s="451"/>
      <c r="AV86" s="297"/>
      <c r="AW86" s="297"/>
      <c r="AX86" s="297"/>
      <c r="AY86" s="297"/>
      <c r="AZ86" s="452"/>
      <c r="BA86" s="451"/>
      <c r="BB86" s="297"/>
      <c r="BC86" s="297"/>
      <c r="BD86" s="297"/>
      <c r="BE86" s="297"/>
      <c r="BF86" s="452"/>
      <c r="BG86" s="451"/>
      <c r="BH86" s="297"/>
      <c r="BI86" s="297"/>
      <c r="BJ86" s="297"/>
      <c r="BK86" s="297"/>
      <c r="BL86" s="452"/>
      <c r="BM86" s="345"/>
      <c r="BN86" s="338"/>
      <c r="BO86" s="338"/>
      <c r="BP86" s="338"/>
      <c r="BQ86" s="338"/>
      <c r="BR86" s="345"/>
    </row>
    <row r="87" spans="1:70" x14ac:dyDescent="0.25">
      <c r="A87" s="286">
        <v>33</v>
      </c>
      <c r="B87" s="1"/>
      <c r="C87" s="2"/>
      <c r="D87" s="2"/>
      <c r="E87" s="314"/>
      <c r="W87" s="448"/>
      <c r="X87" s="284" t="s">
        <v>208</v>
      </c>
      <c r="Y87" s="298">
        <v>0.51724999999999999</v>
      </c>
      <c r="Z87" s="284" t="s">
        <v>209</v>
      </c>
      <c r="AA87" s="298">
        <v>2.4071508054129075E-2</v>
      </c>
      <c r="AB87" s="453"/>
      <c r="AC87" s="448"/>
      <c r="AD87" s="284" t="s">
        <v>208</v>
      </c>
      <c r="AE87" s="298">
        <v>1.007625</v>
      </c>
      <c r="AF87" s="284" t="s">
        <v>209</v>
      </c>
      <c r="AG87" s="298">
        <v>4.7294126220916714E-2</v>
      </c>
      <c r="AH87" s="453"/>
      <c r="AI87" s="448"/>
      <c r="AJ87" s="284" t="s">
        <v>208</v>
      </c>
      <c r="AK87" s="298">
        <v>1.498375</v>
      </c>
      <c r="AL87" s="284" t="s">
        <v>209</v>
      </c>
      <c r="AM87" s="298">
        <v>7.0629203414734873E-2</v>
      </c>
      <c r="AN87" s="453"/>
      <c r="AO87" s="448"/>
      <c r="AP87" s="284"/>
      <c r="AQ87" s="298"/>
      <c r="AR87" s="284"/>
      <c r="AS87" s="298"/>
      <c r="AT87" s="453"/>
      <c r="AU87" s="448"/>
      <c r="AV87" s="284"/>
      <c r="AW87" s="298"/>
      <c r="AX87" s="284"/>
      <c r="AY87" s="298"/>
      <c r="AZ87" s="453"/>
      <c r="BA87" s="448"/>
      <c r="BB87" s="339"/>
      <c r="BC87" s="341"/>
      <c r="BD87" s="339"/>
      <c r="BE87" s="341"/>
      <c r="BF87" s="453"/>
      <c r="BG87" s="448"/>
      <c r="BH87" s="339"/>
      <c r="BI87" s="341"/>
      <c r="BJ87" s="339"/>
      <c r="BK87" s="341"/>
      <c r="BL87" s="453"/>
      <c r="BM87" s="345"/>
      <c r="BN87" s="338"/>
      <c r="BO87" s="342"/>
      <c r="BP87" s="338"/>
      <c r="BQ87" s="342"/>
      <c r="BR87" s="345"/>
    </row>
    <row r="88" spans="1:70" x14ac:dyDescent="0.25">
      <c r="A88" s="286">
        <v>34</v>
      </c>
      <c r="B88" s="1"/>
      <c r="C88" s="2"/>
      <c r="D88" s="2"/>
      <c r="E88" s="314"/>
      <c r="W88" s="448"/>
      <c r="X88" s="284" t="s">
        <v>40</v>
      </c>
      <c r="Y88" s="298">
        <v>2.5733524549005852E-2</v>
      </c>
      <c r="Z88" s="284" t="s">
        <v>210</v>
      </c>
      <c r="AA88" s="298">
        <v>5.4642323282873002E-2</v>
      </c>
      <c r="AB88" s="453"/>
      <c r="AC88" s="448"/>
      <c r="AD88" s="284" t="s">
        <v>40</v>
      </c>
      <c r="AE88" s="298">
        <v>5.0559547635860624E-2</v>
      </c>
      <c r="AF88" s="284" t="s">
        <v>210</v>
      </c>
      <c r="AG88" s="298">
        <v>0.10735766652148095</v>
      </c>
      <c r="AH88" s="453"/>
      <c r="AI88" s="448"/>
      <c r="AJ88" s="284" t="s">
        <v>40</v>
      </c>
      <c r="AK88" s="298">
        <v>7.5505794479629157E-2</v>
      </c>
      <c r="AL88" s="284" t="s">
        <v>210</v>
      </c>
      <c r="AM88" s="298">
        <v>0.16032829175144817</v>
      </c>
      <c r="AN88" s="453"/>
      <c r="AO88" s="448"/>
      <c r="AP88" s="284"/>
      <c r="AQ88" s="298"/>
      <c r="AR88" s="284"/>
      <c r="AS88" s="298"/>
      <c r="AT88" s="453"/>
      <c r="AU88" s="448"/>
      <c r="AV88" s="284"/>
      <c r="AW88" s="298"/>
      <c r="AX88" s="284"/>
      <c r="AY88" s="298"/>
      <c r="AZ88" s="453"/>
      <c r="BA88" s="448"/>
      <c r="BB88" s="339"/>
      <c r="BC88" s="341"/>
      <c r="BD88" s="339"/>
      <c r="BE88" s="341"/>
      <c r="BF88" s="453"/>
      <c r="BG88" s="448"/>
      <c r="BH88" s="339"/>
      <c r="BI88" s="341"/>
      <c r="BJ88" s="339"/>
      <c r="BK88" s="341"/>
      <c r="BL88" s="453"/>
      <c r="BM88" s="345"/>
      <c r="BN88" s="338"/>
      <c r="BO88" s="342"/>
      <c r="BP88" s="338"/>
      <c r="BQ88" s="342"/>
      <c r="BR88" s="345"/>
    </row>
    <row r="89" spans="1:70" x14ac:dyDescent="0.25">
      <c r="A89" s="286">
        <v>35</v>
      </c>
      <c r="B89" s="1"/>
      <c r="C89" s="2"/>
      <c r="D89" s="2"/>
      <c r="E89" s="314"/>
      <c r="W89" s="448"/>
      <c r="X89" s="284" t="s">
        <v>25</v>
      </c>
      <c r="Y89" s="298">
        <v>4.9750651617217694E-2</v>
      </c>
      <c r="Z89" s="284" t="s">
        <v>55</v>
      </c>
      <c r="AA89" s="284"/>
      <c r="AB89" s="453"/>
      <c r="AC89" s="448"/>
      <c r="AD89" s="284" t="s">
        <v>25</v>
      </c>
      <c r="AE89" s="298">
        <v>5.0176948404278006E-2</v>
      </c>
      <c r="AF89" s="284" t="s">
        <v>55</v>
      </c>
      <c r="AG89" s="284"/>
      <c r="AH89" s="453"/>
      <c r="AI89" s="448"/>
      <c r="AJ89" s="284" t="s">
        <v>25</v>
      </c>
      <c r="AK89" s="298">
        <v>5.0391787422794133E-2</v>
      </c>
      <c r="AL89" s="284" t="s">
        <v>55</v>
      </c>
      <c r="AM89" s="284"/>
      <c r="AN89" s="453"/>
      <c r="AO89" s="448"/>
      <c r="AP89" s="284"/>
      <c r="AQ89" s="298"/>
      <c r="AR89" s="284"/>
      <c r="AS89" s="284"/>
      <c r="AT89" s="453"/>
      <c r="AU89" s="448"/>
      <c r="AV89" s="284"/>
      <c r="AW89" s="298"/>
      <c r="AX89" s="284"/>
      <c r="AY89" s="284"/>
      <c r="AZ89" s="453"/>
      <c r="BA89" s="448"/>
      <c r="BB89" s="339"/>
      <c r="BC89" s="341"/>
      <c r="BD89" s="339"/>
      <c r="BE89" s="339"/>
      <c r="BF89" s="453"/>
      <c r="BG89" s="448"/>
      <c r="BH89" s="339"/>
      <c r="BI89" s="341"/>
      <c r="BJ89" s="339"/>
      <c r="BK89" s="339"/>
      <c r="BL89" s="453"/>
      <c r="BM89" s="345"/>
      <c r="BN89" s="338"/>
      <c r="BO89" s="342"/>
      <c r="BP89" s="338"/>
      <c r="BQ89" s="338"/>
      <c r="BR89" s="345"/>
    </row>
    <row r="90" spans="1:70" ht="30" x14ac:dyDescent="0.25">
      <c r="A90" s="286">
        <v>36</v>
      </c>
      <c r="B90" s="1"/>
      <c r="C90" s="2"/>
      <c r="D90" s="2"/>
      <c r="E90" s="314"/>
      <c r="W90" s="299" t="s">
        <v>31</v>
      </c>
      <c r="X90" s="284" t="s">
        <v>163</v>
      </c>
      <c r="Y90" s="454">
        <v>0.51724999999999999</v>
      </c>
      <c r="Z90" s="447"/>
      <c r="AA90" s="447"/>
      <c r="AB90" s="290"/>
      <c r="AC90" s="299" t="s">
        <v>31</v>
      </c>
      <c r="AD90" s="284" t="s">
        <v>163</v>
      </c>
      <c r="AE90" s="454">
        <v>1.007625</v>
      </c>
      <c r="AF90" s="447"/>
      <c r="AG90" s="447"/>
      <c r="AH90" s="290"/>
      <c r="AI90" s="299" t="s">
        <v>31</v>
      </c>
      <c r="AJ90" s="284" t="s">
        <v>163</v>
      </c>
      <c r="AK90" s="454">
        <v>1.498375</v>
      </c>
      <c r="AL90" s="447"/>
      <c r="AM90" s="447"/>
      <c r="AN90" s="290"/>
      <c r="AO90" s="299"/>
      <c r="AP90" s="284"/>
      <c r="AQ90" s="454"/>
      <c r="AR90" s="447"/>
      <c r="AS90" s="447"/>
      <c r="AT90" s="290"/>
      <c r="AU90" s="299"/>
      <c r="AV90" s="284"/>
      <c r="AW90" s="454"/>
      <c r="AX90" s="447"/>
      <c r="AY90" s="447"/>
      <c r="AZ90" s="290"/>
      <c r="BA90" s="299"/>
      <c r="BB90" s="339"/>
      <c r="BC90" s="454"/>
      <c r="BD90" s="447"/>
      <c r="BE90" s="447"/>
      <c r="BF90" s="340"/>
      <c r="BG90" s="299"/>
      <c r="BH90" s="339"/>
      <c r="BI90" s="454"/>
      <c r="BJ90" s="447"/>
      <c r="BK90" s="447"/>
      <c r="BL90" s="340"/>
      <c r="BM90" s="324"/>
      <c r="BN90" s="338"/>
      <c r="BO90" s="346"/>
      <c r="BP90" s="323"/>
      <c r="BQ90" s="323"/>
      <c r="BR90" s="338"/>
    </row>
    <row r="91" spans="1:70" x14ac:dyDescent="0.25">
      <c r="A91" s="286">
        <v>37</v>
      </c>
      <c r="B91" s="1"/>
      <c r="C91" s="2"/>
      <c r="D91" s="2"/>
      <c r="E91" s="314"/>
      <c r="W91" s="448" t="s">
        <v>140</v>
      </c>
      <c r="X91" s="450" t="s">
        <v>72</v>
      </c>
      <c r="Y91" s="450"/>
      <c r="Z91" s="447" t="s">
        <v>73</v>
      </c>
      <c r="AA91" s="447"/>
      <c r="AB91" s="445"/>
      <c r="AC91" s="448" t="s">
        <v>140</v>
      </c>
      <c r="AD91" s="450" t="s">
        <v>72</v>
      </c>
      <c r="AE91" s="450"/>
      <c r="AF91" s="447" t="s">
        <v>73</v>
      </c>
      <c r="AG91" s="447"/>
      <c r="AH91" s="445"/>
      <c r="AI91" s="448" t="s">
        <v>140</v>
      </c>
      <c r="AJ91" s="450" t="s">
        <v>72</v>
      </c>
      <c r="AK91" s="450"/>
      <c r="AL91" s="447" t="s">
        <v>73</v>
      </c>
      <c r="AM91" s="447"/>
      <c r="AN91" s="445"/>
      <c r="AO91" s="448"/>
      <c r="AP91" s="450"/>
      <c r="AQ91" s="450"/>
      <c r="AR91" s="447"/>
      <c r="AS91" s="447"/>
      <c r="AT91" s="445"/>
      <c r="AU91" s="448"/>
      <c r="AV91" s="450"/>
      <c r="AW91" s="450"/>
      <c r="AX91" s="447"/>
      <c r="AY91" s="447"/>
      <c r="AZ91" s="445"/>
      <c r="BA91" s="448"/>
      <c r="BB91" s="450"/>
      <c r="BC91" s="450"/>
      <c r="BD91" s="447"/>
      <c r="BE91" s="447"/>
      <c r="BF91" s="445"/>
      <c r="BG91" s="448"/>
      <c r="BH91" s="450"/>
      <c r="BI91" s="450"/>
      <c r="BJ91" s="447"/>
      <c r="BK91" s="447"/>
      <c r="BL91" s="445"/>
      <c r="BM91" s="345"/>
      <c r="BN91" s="347"/>
      <c r="BO91" s="347"/>
      <c r="BP91" s="323"/>
      <c r="BQ91" s="323"/>
      <c r="BR91" s="323"/>
    </row>
    <row r="92" spans="1:70" x14ac:dyDescent="0.25">
      <c r="A92" s="286">
        <v>38</v>
      </c>
      <c r="B92" s="1"/>
      <c r="C92" s="2"/>
      <c r="D92" s="2"/>
      <c r="E92" s="314"/>
      <c r="W92" s="448"/>
      <c r="X92" s="284" t="s">
        <v>62</v>
      </c>
      <c r="Y92" s="284">
        <v>0.95</v>
      </c>
      <c r="Z92" s="284" t="s">
        <v>62</v>
      </c>
      <c r="AA92" s="284">
        <v>0.85</v>
      </c>
      <c r="AB92" s="445"/>
      <c r="AC92" s="448"/>
      <c r="AD92" s="284" t="s">
        <v>62</v>
      </c>
      <c r="AE92" s="284">
        <v>0.95</v>
      </c>
      <c r="AF92" s="284" t="s">
        <v>62</v>
      </c>
      <c r="AG92" s="284">
        <v>0.85</v>
      </c>
      <c r="AH92" s="445"/>
      <c r="AI92" s="448"/>
      <c r="AJ92" s="284" t="s">
        <v>62</v>
      </c>
      <c r="AK92" s="284">
        <v>0.95</v>
      </c>
      <c r="AL92" s="284" t="s">
        <v>62</v>
      </c>
      <c r="AM92" s="284">
        <v>0.85</v>
      </c>
      <c r="AN92" s="445"/>
      <c r="AO92" s="448"/>
      <c r="AP92" s="284"/>
      <c r="AQ92" s="284"/>
      <c r="AR92" s="284"/>
      <c r="AS92" s="284"/>
      <c r="AT92" s="445"/>
      <c r="AU92" s="448"/>
      <c r="AV92" s="284"/>
      <c r="AW92" s="284"/>
      <c r="AX92" s="284"/>
      <c r="AY92" s="284"/>
      <c r="AZ92" s="445"/>
      <c r="BA92" s="448"/>
      <c r="BB92" s="339"/>
      <c r="BC92" s="339"/>
      <c r="BD92" s="339"/>
      <c r="BE92" s="339"/>
      <c r="BF92" s="445"/>
      <c r="BG92" s="448"/>
      <c r="BH92" s="339"/>
      <c r="BI92" s="339"/>
      <c r="BJ92" s="339"/>
      <c r="BK92" s="339"/>
      <c r="BL92" s="445"/>
      <c r="BM92" s="345"/>
      <c r="BN92" s="338"/>
      <c r="BO92" s="338"/>
      <c r="BP92" s="338"/>
      <c r="BQ92" s="338"/>
      <c r="BR92" s="323"/>
    </row>
    <row r="93" spans="1:70" x14ac:dyDescent="0.25">
      <c r="A93" s="286">
        <v>39</v>
      </c>
      <c r="B93" s="1"/>
      <c r="C93" s="2"/>
      <c r="D93" s="2"/>
      <c r="E93" s="314"/>
      <c r="W93" s="448"/>
      <c r="X93" s="284" t="s">
        <v>211</v>
      </c>
      <c r="Y93" s="284">
        <v>1.9</v>
      </c>
      <c r="Z93" s="284" t="s">
        <v>211</v>
      </c>
      <c r="AA93" s="284">
        <v>1.1200000000000001</v>
      </c>
      <c r="AB93" s="445"/>
      <c r="AC93" s="448"/>
      <c r="AD93" s="284" t="s">
        <v>211</v>
      </c>
      <c r="AE93" s="284">
        <v>1.9</v>
      </c>
      <c r="AF93" s="284" t="s">
        <v>211</v>
      </c>
      <c r="AG93" s="284">
        <v>1.1200000000000001</v>
      </c>
      <c r="AH93" s="445"/>
      <c r="AI93" s="448"/>
      <c r="AJ93" s="284" t="s">
        <v>211</v>
      </c>
      <c r="AK93" s="284">
        <v>1.9</v>
      </c>
      <c r="AL93" s="284" t="s">
        <v>211</v>
      </c>
      <c r="AM93" s="284">
        <v>1.1200000000000001</v>
      </c>
      <c r="AN93" s="445"/>
      <c r="AO93" s="448"/>
      <c r="AP93" s="284"/>
      <c r="AQ93" s="284"/>
      <c r="AR93" s="284"/>
      <c r="AS93" s="284"/>
      <c r="AT93" s="445"/>
      <c r="AU93" s="448"/>
      <c r="AV93" s="284"/>
      <c r="AW93" s="284"/>
      <c r="AX93" s="284"/>
      <c r="AY93" s="284"/>
      <c r="AZ93" s="445"/>
      <c r="BA93" s="448"/>
      <c r="BB93" s="339"/>
      <c r="BC93" s="339"/>
      <c r="BD93" s="339"/>
      <c r="BE93" s="339"/>
      <c r="BF93" s="445"/>
      <c r="BG93" s="448"/>
      <c r="BH93" s="339"/>
      <c r="BI93" s="339"/>
      <c r="BJ93" s="339"/>
      <c r="BK93" s="339"/>
      <c r="BL93" s="445"/>
      <c r="BM93" s="345"/>
      <c r="BN93" s="338"/>
      <c r="BO93" s="338"/>
      <c r="BP93" s="338"/>
      <c r="BQ93" s="338"/>
      <c r="BR93" s="323"/>
    </row>
    <row r="94" spans="1:70" x14ac:dyDescent="0.25">
      <c r="A94" s="286">
        <v>40</v>
      </c>
      <c r="B94" s="1"/>
      <c r="C94" s="2"/>
      <c r="D94" s="2"/>
      <c r="E94" s="314"/>
      <c r="W94" s="448"/>
      <c r="X94" s="284" t="s">
        <v>78</v>
      </c>
      <c r="Y94" s="288">
        <v>3.3420071970634901E-2</v>
      </c>
      <c r="Z94" s="284" t="s">
        <v>78</v>
      </c>
      <c r="AA94" s="288">
        <v>1.9700252951111101E-2</v>
      </c>
      <c r="AB94" s="445"/>
      <c r="AC94" s="448"/>
      <c r="AD94" s="284" t="s">
        <v>78</v>
      </c>
      <c r="AE94" s="288">
        <v>3.3706437452116864E-2</v>
      </c>
      <c r="AF94" s="284" t="s">
        <v>78</v>
      </c>
      <c r="AG94" s="288">
        <v>1.9869057866510997E-2</v>
      </c>
      <c r="AH94" s="445"/>
      <c r="AI94" s="448"/>
      <c r="AJ94" s="284" t="s">
        <v>78</v>
      </c>
      <c r="AK94" s="288">
        <v>3.385075587263027E-2</v>
      </c>
      <c r="AL94" s="284" t="s">
        <v>78</v>
      </c>
      <c r="AM94" s="288">
        <v>1.9954129777550476E-2</v>
      </c>
      <c r="AN94" s="445"/>
      <c r="AO94" s="448"/>
      <c r="AP94" s="284"/>
      <c r="AQ94" s="288"/>
      <c r="AR94" s="284"/>
      <c r="AS94" s="288"/>
      <c r="AT94" s="445"/>
      <c r="AU94" s="448"/>
      <c r="AV94" s="284"/>
      <c r="AW94" s="288"/>
      <c r="AX94" s="284"/>
      <c r="AY94" s="288"/>
      <c r="AZ94" s="445"/>
      <c r="BA94" s="448"/>
      <c r="BB94" s="339"/>
      <c r="BC94" s="288"/>
      <c r="BD94" s="339"/>
      <c r="BE94" s="288"/>
      <c r="BF94" s="445"/>
      <c r="BG94" s="448"/>
      <c r="BH94" s="339"/>
      <c r="BI94" s="288"/>
      <c r="BJ94" s="339"/>
      <c r="BK94" s="288"/>
      <c r="BL94" s="445"/>
      <c r="BM94" s="345"/>
      <c r="BN94" s="338"/>
      <c r="BO94" s="313"/>
      <c r="BP94" s="338"/>
      <c r="BQ94" s="313"/>
      <c r="BR94" s="323"/>
    </row>
    <row r="95" spans="1:70" ht="15.75" thickBot="1" x14ac:dyDescent="0.3">
      <c r="A95" s="286">
        <v>41</v>
      </c>
      <c r="B95" s="1"/>
      <c r="C95" s="2"/>
      <c r="D95" s="2"/>
      <c r="E95" s="314"/>
      <c r="W95" s="449"/>
      <c r="X95" s="3" t="s">
        <v>155</v>
      </c>
      <c r="Y95" s="3" t="s">
        <v>357</v>
      </c>
      <c r="Z95" s="3" t="s">
        <v>156</v>
      </c>
      <c r="AA95" s="3" t="s">
        <v>358</v>
      </c>
      <c r="AB95" s="446"/>
      <c r="AC95" s="449"/>
      <c r="AD95" s="3" t="s">
        <v>155</v>
      </c>
      <c r="AE95" s="3" t="s">
        <v>359</v>
      </c>
      <c r="AF95" s="3" t="s">
        <v>156</v>
      </c>
      <c r="AG95" s="3" t="s">
        <v>360</v>
      </c>
      <c r="AH95" s="446"/>
      <c r="AI95" s="449"/>
      <c r="AJ95" s="3" t="s">
        <v>155</v>
      </c>
      <c r="AK95" s="3" t="s">
        <v>361</v>
      </c>
      <c r="AL95" s="3" t="s">
        <v>156</v>
      </c>
      <c r="AM95" s="3" t="s">
        <v>362</v>
      </c>
      <c r="AN95" s="446"/>
      <c r="AO95" s="449"/>
      <c r="AP95" s="3"/>
      <c r="AQ95" s="3"/>
      <c r="AR95" s="3"/>
      <c r="AS95" s="3"/>
      <c r="AT95" s="446"/>
      <c r="AU95" s="449"/>
      <c r="AV95" s="3"/>
      <c r="AW95" s="3"/>
      <c r="AX95" s="3"/>
      <c r="AY95" s="3"/>
      <c r="AZ95" s="446"/>
      <c r="BA95" s="449"/>
      <c r="BB95" s="343"/>
      <c r="BC95" s="343"/>
      <c r="BD95" s="343"/>
      <c r="BE95" s="343"/>
      <c r="BF95" s="446"/>
      <c r="BG95" s="449"/>
      <c r="BH95" s="343"/>
      <c r="BI95" s="343"/>
      <c r="BJ95" s="343"/>
      <c r="BK95" s="343"/>
      <c r="BL95" s="446"/>
      <c r="BM95" s="345"/>
      <c r="BN95" s="338"/>
      <c r="BO95" s="338"/>
      <c r="BP95" s="338"/>
      <c r="BQ95" s="338"/>
      <c r="BR95" s="323"/>
    </row>
    <row r="96" spans="1:70" x14ac:dyDescent="0.25">
      <c r="A96" s="286">
        <v>42</v>
      </c>
      <c r="B96" s="1"/>
      <c r="C96" s="2"/>
      <c r="D96" s="2"/>
      <c r="E96" s="314"/>
    </row>
    <row r="97" spans="1:5" x14ac:dyDescent="0.25">
      <c r="A97" s="286">
        <v>43</v>
      </c>
      <c r="B97" s="1"/>
      <c r="C97" s="2"/>
      <c r="D97" s="2"/>
      <c r="E97" s="314"/>
    </row>
    <row r="98" spans="1:5" x14ac:dyDescent="0.25">
      <c r="A98" s="286">
        <v>44</v>
      </c>
      <c r="B98" s="1"/>
      <c r="C98" s="2"/>
      <c r="D98" s="2"/>
      <c r="E98" s="314"/>
    </row>
    <row r="99" spans="1:5" x14ac:dyDescent="0.25">
      <c r="A99" s="286">
        <v>45</v>
      </c>
      <c r="B99" s="1"/>
      <c r="C99" s="2"/>
      <c r="D99" s="2"/>
      <c r="E99" s="314"/>
    </row>
    <row r="100" spans="1:5" x14ac:dyDescent="0.25">
      <c r="A100" s="286">
        <v>46</v>
      </c>
      <c r="B100" s="1"/>
      <c r="C100" s="2"/>
      <c r="D100" s="2"/>
      <c r="E100" s="314"/>
    </row>
    <row r="101" spans="1:5" x14ac:dyDescent="0.25">
      <c r="A101" s="286">
        <v>47</v>
      </c>
      <c r="B101" s="1"/>
      <c r="C101" s="2"/>
      <c r="D101" s="2"/>
      <c r="E101" s="314"/>
    </row>
    <row r="102" spans="1:5" x14ac:dyDescent="0.25">
      <c r="A102" s="286">
        <v>48</v>
      </c>
      <c r="B102" s="1"/>
      <c r="C102" s="2"/>
      <c r="D102" s="2"/>
      <c r="E102" s="314"/>
    </row>
    <row r="103" spans="1:5" x14ac:dyDescent="0.25">
      <c r="A103" s="286">
        <v>49</v>
      </c>
      <c r="B103" s="1"/>
      <c r="C103" s="2"/>
      <c r="D103" s="2"/>
      <c r="E103" s="314"/>
    </row>
    <row r="104" spans="1:5" x14ac:dyDescent="0.25">
      <c r="A104" s="286">
        <v>50</v>
      </c>
      <c r="B104" s="1"/>
      <c r="C104" s="2"/>
      <c r="D104" s="2"/>
      <c r="E104" s="314"/>
    </row>
    <row r="105" spans="1:5" x14ac:dyDescent="0.25">
      <c r="A105" s="286">
        <v>51</v>
      </c>
      <c r="B105" s="1"/>
      <c r="C105" s="2"/>
      <c r="D105" s="2"/>
      <c r="E105" s="314"/>
    </row>
    <row r="106" spans="1:5" x14ac:dyDescent="0.25">
      <c r="A106" s="286">
        <v>52</v>
      </c>
      <c r="B106" s="1"/>
      <c r="C106" s="2"/>
      <c r="D106" s="2"/>
      <c r="E106" s="314"/>
    </row>
    <row r="107" spans="1:5" x14ac:dyDescent="0.25">
      <c r="A107" s="286">
        <v>53</v>
      </c>
      <c r="B107" s="1"/>
      <c r="C107" s="2"/>
      <c r="D107" s="2"/>
      <c r="E107" s="314"/>
    </row>
    <row r="108" spans="1:5" x14ac:dyDescent="0.25">
      <c r="A108" s="286">
        <v>54</v>
      </c>
      <c r="B108" s="1"/>
      <c r="C108" s="2"/>
      <c r="D108" s="2"/>
      <c r="E108" s="314"/>
    </row>
    <row r="109" spans="1:5" x14ac:dyDescent="0.25">
      <c r="A109" s="286">
        <v>55</v>
      </c>
      <c r="B109" s="1"/>
      <c r="C109" s="2"/>
      <c r="D109" s="2"/>
      <c r="E109" s="314"/>
    </row>
    <row r="110" spans="1:5" x14ac:dyDescent="0.25">
      <c r="A110" s="286">
        <v>56</v>
      </c>
      <c r="B110" s="1"/>
      <c r="C110" s="2"/>
      <c r="D110" s="2"/>
      <c r="E110" s="314"/>
    </row>
    <row r="111" spans="1:5" x14ac:dyDescent="0.25">
      <c r="A111" s="286">
        <v>57</v>
      </c>
      <c r="B111" s="1"/>
      <c r="C111" s="2"/>
      <c r="D111" s="2"/>
      <c r="E111" s="314"/>
    </row>
    <row r="112" spans="1:5" x14ac:dyDescent="0.25">
      <c r="A112" s="286">
        <v>58</v>
      </c>
      <c r="B112" s="1"/>
      <c r="C112" s="2"/>
      <c r="D112" s="2"/>
      <c r="E112" s="314"/>
    </row>
    <row r="113" spans="1:5" x14ac:dyDescent="0.25">
      <c r="A113" s="286">
        <v>59</v>
      </c>
      <c r="B113" s="1"/>
      <c r="C113" s="2"/>
      <c r="D113" s="2"/>
      <c r="E113" s="314"/>
    </row>
    <row r="114" spans="1:5" x14ac:dyDescent="0.25">
      <c r="A114" s="286">
        <v>60</v>
      </c>
      <c r="B114" s="1"/>
      <c r="C114" s="2"/>
      <c r="D114" s="2"/>
      <c r="E114" s="314"/>
    </row>
    <row r="115" spans="1:5" x14ac:dyDescent="0.25">
      <c r="A115" s="286">
        <v>61</v>
      </c>
      <c r="B115" s="1"/>
      <c r="C115" s="2"/>
      <c r="D115" s="2"/>
      <c r="E115" s="314"/>
    </row>
    <row r="116" spans="1:5" x14ac:dyDescent="0.25">
      <c r="A116" s="286">
        <v>62</v>
      </c>
      <c r="B116" s="1"/>
      <c r="C116" s="2"/>
      <c r="D116" s="2"/>
      <c r="E116" s="314"/>
    </row>
    <row r="117" spans="1:5" x14ac:dyDescent="0.25">
      <c r="A117" s="286">
        <v>63</v>
      </c>
      <c r="B117" s="1"/>
      <c r="C117" s="2"/>
      <c r="D117" s="2"/>
      <c r="E117" s="314"/>
    </row>
    <row r="118" spans="1:5" x14ac:dyDescent="0.25">
      <c r="A118" s="286">
        <v>64</v>
      </c>
      <c r="B118" s="1"/>
      <c r="C118" s="2"/>
      <c r="D118" s="2"/>
      <c r="E118" s="314"/>
    </row>
    <row r="119" spans="1:5" x14ac:dyDescent="0.25">
      <c r="A119" s="286">
        <v>65</v>
      </c>
      <c r="B119" s="1"/>
      <c r="C119" s="2"/>
      <c r="D119" s="2"/>
      <c r="E119" s="314"/>
    </row>
    <row r="120" spans="1:5" x14ac:dyDescent="0.25">
      <c r="A120" s="286">
        <v>66</v>
      </c>
      <c r="B120" s="1"/>
      <c r="C120" s="2"/>
      <c r="D120" s="2"/>
      <c r="E120" s="314"/>
    </row>
    <row r="121" spans="1:5" x14ac:dyDescent="0.25">
      <c r="A121" s="286">
        <v>67</v>
      </c>
      <c r="B121" s="1"/>
      <c r="C121" s="2"/>
      <c r="D121" s="2"/>
      <c r="E121" s="314"/>
    </row>
    <row r="122" spans="1:5" x14ac:dyDescent="0.25">
      <c r="A122" s="286">
        <v>68</v>
      </c>
      <c r="B122" s="1"/>
      <c r="C122" s="2"/>
      <c r="D122" s="2"/>
      <c r="E122" s="314"/>
    </row>
    <row r="123" spans="1:5" x14ac:dyDescent="0.25">
      <c r="A123" s="286">
        <v>69</v>
      </c>
      <c r="B123" s="1"/>
      <c r="C123" s="2"/>
      <c r="D123" s="2"/>
      <c r="E123" s="314"/>
    </row>
    <row r="124" spans="1:5" x14ac:dyDescent="0.25">
      <c r="A124" s="286">
        <v>70</v>
      </c>
      <c r="B124" s="1"/>
      <c r="C124" s="2"/>
      <c r="D124" s="2"/>
      <c r="E124" s="314"/>
    </row>
    <row r="125" spans="1:5" x14ac:dyDescent="0.25">
      <c r="A125" s="286">
        <v>71</v>
      </c>
      <c r="B125" s="1"/>
      <c r="C125" s="2"/>
      <c r="D125" s="2"/>
      <c r="E125" s="314"/>
    </row>
    <row r="126" spans="1:5" x14ac:dyDescent="0.25">
      <c r="A126" s="286">
        <v>72</v>
      </c>
      <c r="B126" s="1"/>
      <c r="C126" s="2"/>
      <c r="D126" s="2"/>
      <c r="E126" s="314"/>
    </row>
    <row r="127" spans="1:5" x14ac:dyDescent="0.25">
      <c r="A127" s="286">
        <v>73</v>
      </c>
      <c r="B127" s="1"/>
      <c r="C127" s="2"/>
      <c r="D127" s="2"/>
      <c r="E127" s="314"/>
    </row>
    <row r="128" spans="1:5" x14ac:dyDescent="0.25">
      <c r="A128" s="286">
        <v>74</v>
      </c>
      <c r="B128" s="1"/>
      <c r="C128" s="2"/>
      <c r="D128" s="2"/>
      <c r="E128" s="314"/>
    </row>
    <row r="129" spans="1:5" x14ac:dyDescent="0.25">
      <c r="A129" s="286">
        <v>75</v>
      </c>
      <c r="B129" s="1"/>
      <c r="C129" s="2"/>
      <c r="D129" s="2"/>
      <c r="E129" s="314"/>
    </row>
    <row r="130" spans="1:5" x14ac:dyDescent="0.25">
      <c r="A130" s="286">
        <v>76</v>
      </c>
      <c r="B130" s="1"/>
      <c r="C130" s="2"/>
      <c r="D130" s="2"/>
      <c r="E130" s="314"/>
    </row>
    <row r="131" spans="1:5" x14ac:dyDescent="0.25">
      <c r="A131" s="286">
        <v>77</v>
      </c>
      <c r="B131" s="1"/>
      <c r="C131" s="2"/>
      <c r="D131" s="2"/>
      <c r="E131" s="314"/>
    </row>
    <row r="132" spans="1:5" x14ac:dyDescent="0.25">
      <c r="A132" s="286">
        <v>78</v>
      </c>
      <c r="B132" s="1"/>
      <c r="C132" s="2"/>
      <c r="D132" s="2"/>
      <c r="E132" s="314"/>
    </row>
    <row r="133" spans="1:5" x14ac:dyDescent="0.25">
      <c r="A133" s="286">
        <v>79</v>
      </c>
      <c r="B133" s="1"/>
      <c r="C133" s="2"/>
      <c r="D133" s="2"/>
      <c r="E133" s="314"/>
    </row>
    <row r="134" spans="1:5" ht="15.75" thickBot="1" x14ac:dyDescent="0.3">
      <c r="A134" s="300">
        <v>80</v>
      </c>
      <c r="B134" s="14"/>
      <c r="C134" s="15"/>
      <c r="D134" s="15"/>
      <c r="E134" s="325"/>
    </row>
  </sheetData>
  <mergeCells count="261">
    <mergeCell ref="AB42:AC42"/>
    <mergeCell ref="M4:R4"/>
    <mergeCell ref="A4:F4"/>
    <mergeCell ref="G4:L4"/>
    <mergeCell ref="AE4:AJ4"/>
    <mergeCell ref="AQ4:AV4"/>
    <mergeCell ref="BC4:BH4"/>
    <mergeCell ref="AW3:BN3"/>
    <mergeCell ref="CA4:CF4"/>
    <mergeCell ref="G3:X3"/>
    <mergeCell ref="Y4:AD4"/>
    <mergeCell ref="BU4:BZ4"/>
    <mergeCell ref="BI4:BN4"/>
    <mergeCell ref="AW4:BB4"/>
    <mergeCell ref="AK4:AP4"/>
    <mergeCell ref="S4:X4"/>
    <mergeCell ref="BU3:DD3"/>
    <mergeCell ref="CY4:DD4"/>
    <mergeCell ref="CS4:CX4"/>
    <mergeCell ref="A37:A40"/>
    <mergeCell ref="F37:F40"/>
    <mergeCell ref="G37:G40"/>
    <mergeCell ref="L37:L40"/>
    <mergeCell ref="M37:M40"/>
    <mergeCell ref="R37:R40"/>
    <mergeCell ref="S37:S40"/>
    <mergeCell ref="X37:X40"/>
    <mergeCell ref="Z42:AA42"/>
    <mergeCell ref="O54:O76"/>
    <mergeCell ref="P54:P59"/>
    <mergeCell ref="Q54:Q56"/>
    <mergeCell ref="T54:T56"/>
    <mergeCell ref="Q57:Q59"/>
    <mergeCell ref="T57:T59"/>
    <mergeCell ref="P60:P62"/>
    <mergeCell ref="Q60:Q61"/>
    <mergeCell ref="T60:T62"/>
    <mergeCell ref="P63:P69"/>
    <mergeCell ref="Q63:Q64"/>
    <mergeCell ref="T63:T69"/>
    <mergeCell ref="Q65:Q67"/>
    <mergeCell ref="Q68:Q69"/>
    <mergeCell ref="P70:P76"/>
    <mergeCell ref="Q70:Q71"/>
    <mergeCell ref="T70:T76"/>
    <mergeCell ref="Q72:Q74"/>
    <mergeCell ref="Q75:Q76"/>
    <mergeCell ref="W52:BL52"/>
    <mergeCell ref="EC4:EH4"/>
    <mergeCell ref="BO4:BT4"/>
    <mergeCell ref="Y37:Y40"/>
    <mergeCell ref="AD37:AD40"/>
    <mergeCell ref="AE37:AE40"/>
    <mergeCell ref="AJ37:AJ40"/>
    <mergeCell ref="AK37:AK40"/>
    <mergeCell ref="AP37:AP40"/>
    <mergeCell ref="AQ37:AQ40"/>
    <mergeCell ref="AV37:AV40"/>
    <mergeCell ref="AW37:AW40"/>
    <mergeCell ref="BB37:BB40"/>
    <mergeCell ref="BC37:BC40"/>
    <mergeCell ref="BH37:BH40"/>
    <mergeCell ref="CG4:CL4"/>
    <mergeCell ref="CM4:CR4"/>
    <mergeCell ref="DK4:DP4"/>
    <mergeCell ref="DE4:DJ4"/>
    <mergeCell ref="DW4:EB4"/>
    <mergeCell ref="DQ4:DV4"/>
    <mergeCell ref="BI37:BI40"/>
    <mergeCell ref="BN37:BN40"/>
    <mergeCell ref="BO37:BO40"/>
    <mergeCell ref="BT37:BT40"/>
    <mergeCell ref="BU37:BU40"/>
    <mergeCell ref="BZ37:BZ40"/>
    <mergeCell ref="CA37:CA40"/>
    <mergeCell ref="CF37:CF40"/>
    <mergeCell ref="CG37:CG40"/>
    <mergeCell ref="CL37:CL40"/>
    <mergeCell ref="CM37:CM40"/>
    <mergeCell ref="CR37:CR40"/>
    <mergeCell ref="CS37:CS40"/>
    <mergeCell ref="CX37:CX40"/>
    <mergeCell ref="CY37:CY40"/>
    <mergeCell ref="DD37:DD40"/>
    <mergeCell ref="DE37:DE40"/>
    <mergeCell ref="DJ37:DJ40"/>
    <mergeCell ref="DK37:DK40"/>
    <mergeCell ref="DP37:DP40"/>
    <mergeCell ref="DQ37:DQ40"/>
    <mergeCell ref="DV37:DV40"/>
    <mergeCell ref="DW37:DW40"/>
    <mergeCell ref="EB37:EB40"/>
    <mergeCell ref="EC37:EC40"/>
    <mergeCell ref="EH37:EH40"/>
    <mergeCell ref="C41:E41"/>
    <mergeCell ref="I41:K41"/>
    <mergeCell ref="O41:Q41"/>
    <mergeCell ref="U41:W41"/>
    <mergeCell ref="AA41:AC41"/>
    <mergeCell ref="AG41:AI41"/>
    <mergeCell ref="AM41:AO41"/>
    <mergeCell ref="AS41:AU41"/>
    <mergeCell ref="AY41:BA41"/>
    <mergeCell ref="BE41:BG41"/>
    <mergeCell ref="BK41:BM41"/>
    <mergeCell ref="BQ41:BS41"/>
    <mergeCell ref="BW41:BY41"/>
    <mergeCell ref="CC41:CE41"/>
    <mergeCell ref="CI41:CK41"/>
    <mergeCell ref="CO41:CQ41"/>
    <mergeCell ref="CU41:CW41"/>
    <mergeCell ref="DA41:DC41"/>
    <mergeCell ref="DG41:DI41"/>
    <mergeCell ref="DM41:DO41"/>
    <mergeCell ref="DS41:DU41"/>
    <mergeCell ref="DY41:EA41"/>
    <mergeCell ref="EE41:EG41"/>
    <mergeCell ref="A42:A46"/>
    <mergeCell ref="B42:C42"/>
    <mergeCell ref="D42:E42"/>
    <mergeCell ref="F42:F46"/>
    <mergeCell ref="G42:G46"/>
    <mergeCell ref="H42:I42"/>
    <mergeCell ref="J42:K42"/>
    <mergeCell ref="L42:L46"/>
    <mergeCell ref="M42:M46"/>
    <mergeCell ref="N42:O42"/>
    <mergeCell ref="P42:Q42"/>
    <mergeCell ref="R42:R46"/>
    <mergeCell ref="S42:S46"/>
    <mergeCell ref="T42:U42"/>
    <mergeCell ref="V42:W42"/>
    <mergeCell ref="X42:X46"/>
    <mergeCell ref="Y42:Y46"/>
    <mergeCell ref="AD42:AD46"/>
    <mergeCell ref="AE42:AE46"/>
    <mergeCell ref="AF42:AG42"/>
    <mergeCell ref="AH42:AI42"/>
    <mergeCell ref="BB42:BB46"/>
    <mergeCell ref="BC42:BC46"/>
    <mergeCell ref="BD42:BE42"/>
    <mergeCell ref="BF42:BG42"/>
    <mergeCell ref="BH42:BH46"/>
    <mergeCell ref="BI42:BI46"/>
    <mergeCell ref="AJ42:AJ46"/>
    <mergeCell ref="AK42:AK46"/>
    <mergeCell ref="AL42:AM42"/>
    <mergeCell ref="AN42:AO42"/>
    <mergeCell ref="AP42:AP46"/>
    <mergeCell ref="AQ42:AQ46"/>
    <mergeCell ref="AR42:AS42"/>
    <mergeCell ref="AT42:AU42"/>
    <mergeCell ref="AV42:AV46"/>
    <mergeCell ref="EH42:EH46"/>
    <mergeCell ref="A52:E52"/>
    <mergeCell ref="G52:J52"/>
    <mergeCell ref="O52:T52"/>
    <mergeCell ref="EF42:EG42"/>
    <mergeCell ref="CY42:CY46"/>
    <mergeCell ref="CZ42:DA42"/>
    <mergeCell ref="DB42:DC42"/>
    <mergeCell ref="DD42:DD46"/>
    <mergeCell ref="DE42:DE46"/>
    <mergeCell ref="DF42:DG42"/>
    <mergeCell ref="DH42:DI42"/>
    <mergeCell ref="DJ42:DJ46"/>
    <mergeCell ref="DK42:DK46"/>
    <mergeCell ref="CL42:CL46"/>
    <mergeCell ref="CM42:CM46"/>
    <mergeCell ref="CN42:CO42"/>
    <mergeCell ref="CP42:CQ42"/>
    <mergeCell ref="CR42:CR46"/>
    <mergeCell ref="CS42:CS46"/>
    <mergeCell ref="CT42:CU42"/>
    <mergeCell ref="CV42:CW42"/>
    <mergeCell ref="CX42:CX46"/>
    <mergeCell ref="AW42:AW46"/>
    <mergeCell ref="G53:H53"/>
    <mergeCell ref="I53:J53"/>
    <mergeCell ref="DL42:DM42"/>
    <mergeCell ref="DN42:DO42"/>
    <mergeCell ref="DP42:DP46"/>
    <mergeCell ref="DQ42:DQ46"/>
    <mergeCell ref="DR42:DS42"/>
    <mergeCell ref="BX42:BY42"/>
    <mergeCell ref="BZ42:BZ46"/>
    <mergeCell ref="CA42:CA46"/>
    <mergeCell ref="CB42:CC42"/>
    <mergeCell ref="CD42:CE42"/>
    <mergeCell ref="CF42:CF46"/>
    <mergeCell ref="CG42:CG46"/>
    <mergeCell ref="CH42:CI42"/>
    <mergeCell ref="CJ42:CK42"/>
    <mergeCell ref="BJ42:BK42"/>
    <mergeCell ref="BL42:BM42"/>
    <mergeCell ref="BN42:BN46"/>
    <mergeCell ref="BO42:BO46"/>
    <mergeCell ref="BP42:BQ42"/>
    <mergeCell ref="BR42:BS42"/>
    <mergeCell ref="AX42:AY42"/>
    <mergeCell ref="AZ42:BA42"/>
    <mergeCell ref="BL86:BL89"/>
    <mergeCell ref="DT42:DU42"/>
    <mergeCell ref="DV42:DV46"/>
    <mergeCell ref="DW42:DW46"/>
    <mergeCell ref="DX42:DY42"/>
    <mergeCell ref="DZ42:EA42"/>
    <mergeCell ref="EB42:EB46"/>
    <mergeCell ref="EC42:EC46"/>
    <mergeCell ref="ED42:EE42"/>
    <mergeCell ref="BT42:BT46"/>
    <mergeCell ref="BU42:BU46"/>
    <mergeCell ref="BV42:BW42"/>
    <mergeCell ref="AW90:AY90"/>
    <mergeCell ref="BC90:BE90"/>
    <mergeCell ref="BI90:BK90"/>
    <mergeCell ref="AN86:AN89"/>
    <mergeCell ref="AO86:AO89"/>
    <mergeCell ref="AT86:AT89"/>
    <mergeCell ref="AU86:AU89"/>
    <mergeCell ref="AZ86:AZ89"/>
    <mergeCell ref="BA86:BA89"/>
    <mergeCell ref="BF86:BF89"/>
    <mergeCell ref="BG86:BG89"/>
    <mergeCell ref="W86:W89"/>
    <mergeCell ref="AB86:AB89"/>
    <mergeCell ref="AC86:AC89"/>
    <mergeCell ref="AH86:AH89"/>
    <mergeCell ref="AI86:AI89"/>
    <mergeCell ref="Y90:AA90"/>
    <mergeCell ref="AE90:AG90"/>
    <mergeCell ref="AK90:AM90"/>
    <mergeCell ref="AQ90:AS90"/>
    <mergeCell ref="W91:W95"/>
    <mergeCell ref="X91:Y91"/>
    <mergeCell ref="Z91:AA91"/>
    <mergeCell ref="AB91:AB95"/>
    <mergeCell ref="AC91:AC95"/>
    <mergeCell ref="AD91:AE91"/>
    <mergeCell ref="AF91:AG91"/>
    <mergeCell ref="AH91:AH95"/>
    <mergeCell ref="AI91:AI95"/>
    <mergeCell ref="AJ91:AK91"/>
    <mergeCell ref="AL91:AM91"/>
    <mergeCell ref="AN91:AN95"/>
    <mergeCell ref="AO91:AO95"/>
    <mergeCell ref="AP91:AQ91"/>
    <mergeCell ref="AR91:AS91"/>
    <mergeCell ref="AT91:AT95"/>
    <mergeCell ref="AU91:AU95"/>
    <mergeCell ref="AV91:AW91"/>
    <mergeCell ref="BL91:BL95"/>
    <mergeCell ref="AX91:AY91"/>
    <mergeCell ref="AZ91:AZ95"/>
    <mergeCell ref="BA91:BA95"/>
    <mergeCell ref="BB91:BC91"/>
    <mergeCell ref="BD91:BE91"/>
    <mergeCell ref="BF91:BF95"/>
    <mergeCell ref="BG91:BG95"/>
    <mergeCell ref="BH91:BI91"/>
    <mergeCell ref="BJ91:BK91"/>
  </mergeCells>
  <conditionalFormatting sqref="P60 P63 P70">
    <cfRule type="containsText" dxfId="5" priority="5" operator="containsText" text="Loại">
      <formula>NOT(ISERROR(SEARCH("Loại",P60)))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text="Loai" id="{C9398303-01C7-43D8-8D4A-F6572589BDED}">
            <xm:f>NOT(ISERROR(SEARCH("Loai",'\BACKUP\[THONGKEDIACHAT_All_KhongProtection.xlsm]Thongke1'!#REF!)))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F6:F36 L6:L36 R6:R36 X6:X36 AD6:AD36 AJ6:AJ36 AP6:AP36 AV6:AV36 BB6:BB36 BH6:BH36 BN6:BN36 BT6:BT36 BZ6:BZ36 CF6:CF36 CL6:CL36 CR6:CR36 CX6:CX36 DD6:DD36 DJ6:DJ36 DP6:DP36 DV6:DV36 EB6:EB36</xm:sqref>
        </x14:conditionalFormatting>
        <x14:conditionalFormatting xmlns:xm="http://schemas.microsoft.com/office/excel/2006/main">
          <x14:cfRule type="containsText" priority="4" operator="containsText" text="Loai" id="{65120B64-E8A4-48C1-BAE0-0582EA2419FF}">
            <xm:f>NOT(ISERROR(SEARCH("Loai",'\BACKUP\[THONGKEDIACHAT_All_KhongProtection.xlsm]Thongke1'!#REF!)))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AB55:AB85 AH55:AH85 AN55:AN85 AT55:AT85 AZ55:AZ85 BR55:BR85</xm:sqref>
        </x14:conditionalFormatting>
        <x14:conditionalFormatting xmlns:xm="http://schemas.microsoft.com/office/excel/2006/main">
          <x14:cfRule type="containsText" priority="3" operator="containsText" text="Loai" id="{F426AC9A-7815-4A96-A9B4-45029C23FF79}">
            <xm:f>NOT(ISERROR(SEARCH("Loai",'\BACKUP\[THONGKEDIACHAT_All_KhongProtection.xlsm]Thongke1'!#REF!)))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EH6:EH36</xm:sqref>
        </x14:conditionalFormatting>
        <x14:conditionalFormatting xmlns:xm="http://schemas.microsoft.com/office/excel/2006/main">
          <x14:cfRule type="containsText" priority="2" operator="containsText" text="Loai" id="{00439DD2-F423-478C-A646-489C44955AA7}">
            <xm:f>NOT(ISERROR(SEARCH("Loai",'\BACKUP\[THONGKEDIACHAT_All_KhongProtection.xlsm]Thongke1'!#REF!)))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BF55:BF85</xm:sqref>
        </x14:conditionalFormatting>
        <x14:conditionalFormatting xmlns:xm="http://schemas.microsoft.com/office/excel/2006/main">
          <x14:cfRule type="containsText" priority="1" operator="containsText" text="Loai" id="{4E447968-FA05-4B90-82E9-C46928FBE0B3}">
            <xm:f>NOT(ISERROR(SEARCH("Loai",'\BACKUP\[THONGKEDIACHAT_All_KhongProtection.xlsm]Thongke1'!#REF!)))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BL55:BL85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AC34"/>
  <sheetViews>
    <sheetView topLeftCell="A10" workbookViewId="0">
      <selection activeCell="Y18" sqref="Y18"/>
    </sheetView>
  </sheetViews>
  <sheetFormatPr defaultRowHeight="14.25" x14ac:dyDescent="0.2"/>
  <cols>
    <col min="1" max="1" width="12.25" bestFit="1" customWidth="1"/>
    <col min="2" max="2" width="12.375" customWidth="1"/>
    <col min="3" max="3" width="7.625" customWidth="1"/>
    <col min="4" max="4" width="5.875" bestFit="1" customWidth="1"/>
    <col min="5" max="7" width="10.5" bestFit="1" customWidth="1"/>
    <col min="8" max="8" width="7.125" bestFit="1" customWidth="1"/>
    <col min="9" max="9" width="7" bestFit="1" customWidth="1"/>
    <col min="10" max="10" width="9" bestFit="1" customWidth="1"/>
    <col min="11" max="11" width="9.625" bestFit="1" customWidth="1"/>
    <col min="12" max="14" width="5.75" bestFit="1" customWidth="1"/>
    <col min="15" max="15" width="5.875" bestFit="1" customWidth="1"/>
    <col min="16" max="16" width="6.125" customWidth="1"/>
    <col min="17" max="17" width="5.375" customWidth="1"/>
    <col min="18" max="18" width="5.75" bestFit="1" customWidth="1"/>
    <col min="19" max="19" width="4.875" bestFit="1" customWidth="1"/>
    <col min="20" max="21" width="5.25" bestFit="1" customWidth="1"/>
    <col min="22" max="22" width="7.875" bestFit="1" customWidth="1"/>
    <col min="23" max="23" width="8.875" bestFit="1" customWidth="1"/>
    <col min="24" max="24" width="11.75" customWidth="1"/>
    <col min="25" max="25" width="15.125" bestFit="1" customWidth="1"/>
    <col min="26" max="26" width="3.625" bestFit="1" customWidth="1"/>
    <col min="27" max="27" width="14.5" customWidth="1"/>
    <col min="28" max="28" width="13.625" bestFit="1" customWidth="1"/>
    <col min="29" max="29" width="11.375" customWidth="1"/>
  </cols>
  <sheetData>
    <row r="1" spans="1:29" ht="33.75" thickBot="1" x14ac:dyDescent="0.25">
      <c r="A1" s="479" t="s">
        <v>346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79"/>
      <c r="AA1" s="479"/>
      <c r="AB1" s="479"/>
      <c r="AC1" s="479"/>
    </row>
    <row r="2" spans="1:29" ht="15" x14ac:dyDescent="0.2">
      <c r="A2" s="439" t="s">
        <v>29</v>
      </c>
      <c r="B2" s="481"/>
      <c r="C2" s="348"/>
      <c r="D2" s="94" t="s">
        <v>3</v>
      </c>
      <c r="E2" s="482" t="s">
        <v>102</v>
      </c>
      <c r="F2" s="482"/>
      <c r="G2" s="482"/>
      <c r="H2" s="94" t="s">
        <v>103</v>
      </c>
      <c r="I2" s="94" t="s">
        <v>104</v>
      </c>
      <c r="J2" s="94" t="s">
        <v>36</v>
      </c>
      <c r="K2" s="94" t="s">
        <v>105</v>
      </c>
      <c r="L2" s="482" t="s">
        <v>106</v>
      </c>
      <c r="M2" s="482"/>
      <c r="N2" s="482"/>
      <c r="O2" s="94" t="s">
        <v>107</v>
      </c>
      <c r="P2" s="482" t="s">
        <v>108</v>
      </c>
      <c r="Q2" s="482"/>
      <c r="R2" s="482"/>
      <c r="S2" s="482"/>
      <c r="T2" s="482"/>
      <c r="U2" s="482"/>
      <c r="V2" s="94" t="s">
        <v>109</v>
      </c>
      <c r="W2" s="94" t="s">
        <v>110</v>
      </c>
      <c r="X2" s="94" t="s">
        <v>111</v>
      </c>
      <c r="Y2" s="94" t="s">
        <v>112</v>
      </c>
      <c r="Z2" s="349" t="s">
        <v>113</v>
      </c>
      <c r="AA2" s="482" t="s">
        <v>146</v>
      </c>
      <c r="AB2" s="482"/>
      <c r="AC2" s="483"/>
    </row>
    <row r="3" spans="1:29" ht="15" x14ac:dyDescent="0.2">
      <c r="A3" s="440"/>
      <c r="B3" s="433"/>
      <c r="C3" s="335"/>
      <c r="D3" s="350" t="s">
        <v>97</v>
      </c>
      <c r="E3" s="350" t="s">
        <v>114</v>
      </c>
      <c r="F3" s="350" t="s">
        <v>115</v>
      </c>
      <c r="G3" s="350" t="s">
        <v>116</v>
      </c>
      <c r="H3" s="350"/>
      <c r="I3" s="350" t="s">
        <v>97</v>
      </c>
      <c r="J3" s="350"/>
      <c r="K3" s="350" t="s">
        <v>97</v>
      </c>
      <c r="L3" s="350"/>
      <c r="M3" s="350"/>
      <c r="N3" s="350"/>
      <c r="O3" s="350"/>
      <c r="P3" s="484" t="s">
        <v>117</v>
      </c>
      <c r="Q3" s="484"/>
      <c r="R3" s="484"/>
      <c r="S3" s="484"/>
      <c r="T3" s="484"/>
      <c r="U3" s="484"/>
      <c r="V3" s="350" t="s">
        <v>118</v>
      </c>
      <c r="W3" s="350"/>
      <c r="X3" s="350" t="s">
        <v>119</v>
      </c>
      <c r="Y3" s="350" t="s">
        <v>120</v>
      </c>
      <c r="Z3" s="350"/>
      <c r="AA3" s="350" t="s">
        <v>118</v>
      </c>
      <c r="AB3" s="350" t="s">
        <v>149</v>
      </c>
      <c r="AC3" s="351"/>
    </row>
    <row r="4" spans="1:29" ht="18.75" thickBot="1" x14ac:dyDescent="0.25">
      <c r="A4" s="480"/>
      <c r="B4" s="433"/>
      <c r="C4" s="335"/>
      <c r="D4" s="367" t="s">
        <v>80</v>
      </c>
      <c r="E4" s="367" t="s">
        <v>121</v>
      </c>
      <c r="F4" s="367" t="s">
        <v>122</v>
      </c>
      <c r="G4" s="367" t="s">
        <v>123</v>
      </c>
      <c r="H4" s="368" t="s">
        <v>124</v>
      </c>
      <c r="I4" s="368" t="s">
        <v>24</v>
      </c>
      <c r="J4" s="368" t="s">
        <v>2</v>
      </c>
      <c r="K4" s="368" t="s">
        <v>125</v>
      </c>
      <c r="L4" s="367" t="s">
        <v>126</v>
      </c>
      <c r="M4" s="367" t="s">
        <v>127</v>
      </c>
      <c r="N4" s="367" t="s">
        <v>128</v>
      </c>
      <c r="O4" s="367" t="s">
        <v>129</v>
      </c>
      <c r="P4" s="367">
        <v>19.100000000000001</v>
      </c>
      <c r="Q4" s="367">
        <v>4.76</v>
      </c>
      <c r="R4" s="367">
        <v>2</v>
      </c>
      <c r="S4" s="367">
        <v>0.42</v>
      </c>
      <c r="T4" s="367">
        <v>7.3999999999999996E-2</v>
      </c>
      <c r="U4" s="367">
        <v>2E-3</v>
      </c>
      <c r="V4" s="367" t="s">
        <v>130</v>
      </c>
      <c r="W4" s="367" t="s">
        <v>131</v>
      </c>
      <c r="X4" s="367" t="s">
        <v>132</v>
      </c>
      <c r="Y4" s="367" t="s">
        <v>133</v>
      </c>
      <c r="Z4" s="368" t="s">
        <v>134</v>
      </c>
      <c r="AA4" s="367" t="s">
        <v>147</v>
      </c>
      <c r="AB4" s="369" t="s">
        <v>148</v>
      </c>
      <c r="AC4" s="370" t="s">
        <v>171</v>
      </c>
    </row>
    <row r="5" spans="1:29" ht="30" x14ac:dyDescent="0.2">
      <c r="A5" s="196"/>
      <c r="B5" s="371" t="s">
        <v>31</v>
      </c>
      <c r="C5" s="336" t="s">
        <v>163</v>
      </c>
      <c r="D5" s="353">
        <v>28.8</v>
      </c>
      <c r="E5" s="353">
        <v>1.8320000000000001</v>
      </c>
      <c r="F5" s="353">
        <v>1.4219999999999999</v>
      </c>
      <c r="G5" s="353">
        <v>0.88900000000000001</v>
      </c>
      <c r="H5" s="353">
        <v>2.6680000000000001</v>
      </c>
      <c r="I5" s="353">
        <v>46.7</v>
      </c>
      <c r="J5" s="353">
        <v>0.876</v>
      </c>
      <c r="K5" s="353">
        <v>87.7</v>
      </c>
      <c r="L5" s="353" t="s">
        <v>167</v>
      </c>
      <c r="M5" s="353" t="s">
        <v>167</v>
      </c>
      <c r="N5" s="353" t="s">
        <v>167</v>
      </c>
      <c r="O5" s="353" t="s">
        <v>167</v>
      </c>
      <c r="P5" s="354" t="s">
        <v>167</v>
      </c>
      <c r="Q5" s="354" t="s">
        <v>167</v>
      </c>
      <c r="R5" s="354">
        <v>100</v>
      </c>
      <c r="S5" s="354">
        <v>74</v>
      </c>
      <c r="T5" s="354">
        <v>3</v>
      </c>
      <c r="U5" s="354" t="s">
        <v>167</v>
      </c>
      <c r="V5" s="353" t="s">
        <v>167</v>
      </c>
      <c r="W5" s="353" t="s">
        <v>167</v>
      </c>
      <c r="X5" s="353" t="s">
        <v>167</v>
      </c>
      <c r="Y5" s="353" t="s">
        <v>167</v>
      </c>
      <c r="Z5" s="198">
        <v>2</v>
      </c>
      <c r="AA5" s="353">
        <v>2.3333333333331874E-3</v>
      </c>
      <c r="AB5" s="353" t="s">
        <v>313</v>
      </c>
      <c r="AC5" s="355">
        <v>0.44550000000000001</v>
      </c>
    </row>
    <row r="6" spans="1:29" ht="15" x14ac:dyDescent="0.2">
      <c r="A6" s="199">
        <v>1</v>
      </c>
      <c r="B6" s="356" t="s">
        <v>72</v>
      </c>
      <c r="C6" s="330" t="s">
        <v>155</v>
      </c>
      <c r="D6" s="146" t="s">
        <v>167</v>
      </c>
      <c r="E6" s="146" t="s">
        <v>167</v>
      </c>
      <c r="F6" s="146" t="s">
        <v>167</v>
      </c>
      <c r="G6" s="146" t="s">
        <v>167</v>
      </c>
      <c r="H6" s="146" t="s">
        <v>167</v>
      </c>
      <c r="I6" s="146" t="s">
        <v>167</v>
      </c>
      <c r="J6" s="146" t="s">
        <v>167</v>
      </c>
      <c r="K6" s="146" t="s">
        <v>167</v>
      </c>
      <c r="L6" s="146" t="s">
        <v>167</v>
      </c>
      <c r="M6" s="146" t="s">
        <v>167</v>
      </c>
      <c r="N6" s="146" t="s">
        <v>167</v>
      </c>
      <c r="O6" s="146" t="s">
        <v>167</v>
      </c>
      <c r="P6" s="203" t="s">
        <v>167</v>
      </c>
      <c r="Q6" s="203" t="s">
        <v>167</v>
      </c>
      <c r="R6" s="203" t="s">
        <v>167</v>
      </c>
      <c r="S6" s="203" t="s">
        <v>167</v>
      </c>
      <c r="T6" s="203" t="s">
        <v>167</v>
      </c>
      <c r="U6" s="203" t="s">
        <v>167</v>
      </c>
      <c r="V6" s="146" t="s">
        <v>167</v>
      </c>
      <c r="W6" s="146" t="s">
        <v>167</v>
      </c>
      <c r="X6" s="146" t="s">
        <v>167</v>
      </c>
      <c r="Y6" s="146" t="s">
        <v>167</v>
      </c>
      <c r="Z6" s="140" t="s">
        <v>167</v>
      </c>
      <c r="AA6" s="146" t="s">
        <v>167</v>
      </c>
      <c r="AB6" s="146" t="s">
        <v>167</v>
      </c>
      <c r="AC6" s="147" t="s">
        <v>167</v>
      </c>
    </row>
    <row r="7" spans="1:29" ht="15.75" thickBot="1" x14ac:dyDescent="0.25">
      <c r="A7" s="208"/>
      <c r="B7" s="357" t="s">
        <v>73</v>
      </c>
      <c r="C7" s="124" t="s">
        <v>156</v>
      </c>
      <c r="D7" s="160" t="s">
        <v>167</v>
      </c>
      <c r="E7" s="160" t="s">
        <v>167</v>
      </c>
      <c r="F7" s="160" t="s">
        <v>167</v>
      </c>
      <c r="G7" s="160" t="s">
        <v>167</v>
      </c>
      <c r="H7" s="160" t="s">
        <v>167</v>
      </c>
      <c r="I7" s="160" t="s">
        <v>167</v>
      </c>
      <c r="J7" s="160" t="s">
        <v>167</v>
      </c>
      <c r="K7" s="160" t="s">
        <v>167</v>
      </c>
      <c r="L7" s="160" t="s">
        <v>167</v>
      </c>
      <c r="M7" s="160" t="s">
        <v>167</v>
      </c>
      <c r="N7" s="160" t="s">
        <v>167</v>
      </c>
      <c r="O7" s="160" t="s">
        <v>167</v>
      </c>
      <c r="P7" s="358" t="s">
        <v>167</v>
      </c>
      <c r="Q7" s="358" t="s">
        <v>167</v>
      </c>
      <c r="R7" s="358" t="s">
        <v>167</v>
      </c>
      <c r="S7" s="358" t="s">
        <v>167</v>
      </c>
      <c r="T7" s="358" t="s">
        <v>167</v>
      </c>
      <c r="U7" s="358" t="s">
        <v>167</v>
      </c>
      <c r="V7" s="160" t="s">
        <v>167</v>
      </c>
      <c r="W7" s="160" t="s">
        <v>167</v>
      </c>
      <c r="X7" s="160" t="s">
        <v>167</v>
      </c>
      <c r="Y7" s="160" t="s">
        <v>167</v>
      </c>
      <c r="Z7" s="359" t="s">
        <v>167</v>
      </c>
      <c r="AA7" s="160" t="s">
        <v>167</v>
      </c>
      <c r="AB7" s="160" t="s">
        <v>167</v>
      </c>
      <c r="AC7" s="209" t="s">
        <v>167</v>
      </c>
    </row>
    <row r="8" spans="1:29" ht="30" customHeight="1" x14ac:dyDescent="0.2">
      <c r="A8" s="199"/>
      <c r="B8" s="360" t="s">
        <v>31</v>
      </c>
      <c r="C8" s="361" t="s">
        <v>163</v>
      </c>
      <c r="D8" s="200">
        <v>80.940740740740722</v>
      </c>
      <c r="E8" s="200">
        <v>1.4792962962962961</v>
      </c>
      <c r="F8" s="200">
        <v>0.82240740740740748</v>
      </c>
      <c r="G8" s="200">
        <v>0.50692592592592589</v>
      </c>
      <c r="H8" s="200">
        <v>2.606444444444445</v>
      </c>
      <c r="I8" s="200">
        <v>68.451851851851856</v>
      </c>
      <c r="J8" s="200">
        <v>2.1947037037037034</v>
      </c>
      <c r="K8" s="200">
        <v>95.907407407407405</v>
      </c>
      <c r="L8" s="200">
        <v>70.407407407407419</v>
      </c>
      <c r="M8" s="200">
        <v>36.040740740740731</v>
      </c>
      <c r="N8" s="200">
        <v>34.411111111111119</v>
      </c>
      <c r="O8" s="200">
        <v>1.2940740740740739</v>
      </c>
      <c r="P8" s="202" t="s">
        <v>167</v>
      </c>
      <c r="Q8" s="202" t="s">
        <v>167</v>
      </c>
      <c r="R8" s="202">
        <v>100</v>
      </c>
      <c r="S8" s="202">
        <v>96.629629629629633</v>
      </c>
      <c r="T8" s="202">
        <v>82.555555555555557</v>
      </c>
      <c r="U8" s="202">
        <v>33.185185185185183</v>
      </c>
      <c r="V8" s="200">
        <v>0.17900000000000002</v>
      </c>
      <c r="W8" s="200">
        <v>0.93162499999999993</v>
      </c>
      <c r="X8" s="200">
        <v>0.270125</v>
      </c>
      <c r="Y8" s="200">
        <v>8.4966250000000016</v>
      </c>
      <c r="Z8" s="362">
        <v>1</v>
      </c>
      <c r="AA8" s="200">
        <v>7.370389461626578E-2</v>
      </c>
      <c r="AB8" s="200" t="s">
        <v>314</v>
      </c>
      <c r="AC8" s="115">
        <v>0.13768041237113388</v>
      </c>
    </row>
    <row r="9" spans="1:29" ht="15" x14ac:dyDescent="0.2">
      <c r="A9" s="199">
        <v>2</v>
      </c>
      <c r="B9" s="356" t="s">
        <v>72</v>
      </c>
      <c r="C9" s="330" t="s">
        <v>155</v>
      </c>
      <c r="D9" s="146" t="s">
        <v>167</v>
      </c>
      <c r="E9" s="146" t="s">
        <v>278</v>
      </c>
      <c r="F9" s="146" t="s">
        <v>280</v>
      </c>
      <c r="G9" s="146" t="s">
        <v>283</v>
      </c>
      <c r="H9" s="146" t="s">
        <v>167</v>
      </c>
      <c r="I9" s="146" t="s">
        <v>167</v>
      </c>
      <c r="J9" s="146" t="s">
        <v>167</v>
      </c>
      <c r="K9" s="146" t="s">
        <v>167</v>
      </c>
      <c r="L9" s="146" t="s">
        <v>167</v>
      </c>
      <c r="M9" s="146" t="s">
        <v>167</v>
      </c>
      <c r="N9" s="146" t="s">
        <v>167</v>
      </c>
      <c r="O9" s="146" t="s">
        <v>167</v>
      </c>
      <c r="P9" s="203" t="s">
        <v>167</v>
      </c>
      <c r="Q9" s="203" t="s">
        <v>167</v>
      </c>
      <c r="R9" s="203" t="s">
        <v>167</v>
      </c>
      <c r="S9" s="203" t="s">
        <v>167</v>
      </c>
      <c r="T9" s="203" t="s">
        <v>167</v>
      </c>
      <c r="U9" s="203" t="s">
        <v>167</v>
      </c>
      <c r="V9" s="146" t="s">
        <v>167</v>
      </c>
      <c r="W9" s="146" t="s">
        <v>167</v>
      </c>
      <c r="X9" s="146" t="s">
        <v>167</v>
      </c>
      <c r="Y9" s="146" t="s">
        <v>167</v>
      </c>
      <c r="Z9" s="140" t="s">
        <v>167</v>
      </c>
      <c r="AA9" s="146" t="s">
        <v>349</v>
      </c>
      <c r="AB9" s="146" t="s">
        <v>315</v>
      </c>
      <c r="AC9" s="147" t="s">
        <v>316</v>
      </c>
    </row>
    <row r="10" spans="1:29" ht="15.75" thickBot="1" x14ac:dyDescent="0.25">
      <c r="A10" s="208"/>
      <c r="B10" s="357" t="s">
        <v>73</v>
      </c>
      <c r="C10" s="124" t="s">
        <v>156</v>
      </c>
      <c r="D10" s="160" t="s">
        <v>167</v>
      </c>
      <c r="E10" s="160" t="s">
        <v>279</v>
      </c>
      <c r="F10" s="160" t="s">
        <v>281</v>
      </c>
      <c r="G10" s="160" t="s">
        <v>284</v>
      </c>
      <c r="H10" s="160" t="s">
        <v>167</v>
      </c>
      <c r="I10" s="160" t="s">
        <v>167</v>
      </c>
      <c r="J10" s="160" t="s">
        <v>167</v>
      </c>
      <c r="K10" s="160" t="s">
        <v>167</v>
      </c>
      <c r="L10" s="160" t="s">
        <v>167</v>
      </c>
      <c r="M10" s="160" t="s">
        <v>167</v>
      </c>
      <c r="N10" s="160" t="s">
        <v>167</v>
      </c>
      <c r="O10" s="160" t="s">
        <v>167</v>
      </c>
      <c r="P10" s="358" t="s">
        <v>167</v>
      </c>
      <c r="Q10" s="358" t="s">
        <v>167</v>
      </c>
      <c r="R10" s="358" t="s">
        <v>167</v>
      </c>
      <c r="S10" s="358" t="s">
        <v>167</v>
      </c>
      <c r="T10" s="358" t="s">
        <v>167</v>
      </c>
      <c r="U10" s="358" t="s">
        <v>167</v>
      </c>
      <c r="V10" s="160" t="s">
        <v>167</v>
      </c>
      <c r="W10" s="160" t="s">
        <v>167</v>
      </c>
      <c r="X10" s="160" t="s">
        <v>167</v>
      </c>
      <c r="Y10" s="160" t="s">
        <v>167</v>
      </c>
      <c r="Z10" s="359" t="s">
        <v>167</v>
      </c>
      <c r="AA10" s="160" t="s">
        <v>350</v>
      </c>
      <c r="AB10" s="160" t="s">
        <v>317</v>
      </c>
      <c r="AC10" s="209" t="s">
        <v>318</v>
      </c>
    </row>
    <row r="11" spans="1:29" ht="30" x14ac:dyDescent="0.2">
      <c r="A11" s="199"/>
      <c r="B11" s="360" t="s">
        <v>31</v>
      </c>
      <c r="C11" s="361" t="s">
        <v>163</v>
      </c>
      <c r="D11" s="200">
        <v>22.766666666666669</v>
      </c>
      <c r="E11" s="200">
        <v>1.9106666666666667</v>
      </c>
      <c r="F11" s="200">
        <v>1.5566666666666666</v>
      </c>
      <c r="G11" s="200">
        <v>0.97233333333333327</v>
      </c>
      <c r="H11" s="200">
        <v>2.6629999999999998</v>
      </c>
      <c r="I11" s="200">
        <v>41.56666666666667</v>
      </c>
      <c r="J11" s="200">
        <v>0.71233333333333337</v>
      </c>
      <c r="K11" s="200">
        <v>85.166666666666671</v>
      </c>
      <c r="L11" s="200" t="s">
        <v>167</v>
      </c>
      <c r="M11" s="200" t="s">
        <v>167</v>
      </c>
      <c r="N11" s="200" t="s">
        <v>167</v>
      </c>
      <c r="O11" s="200" t="s">
        <v>167</v>
      </c>
      <c r="P11" s="202" t="s">
        <v>167</v>
      </c>
      <c r="Q11" s="202" t="s">
        <v>167</v>
      </c>
      <c r="R11" s="202">
        <v>100</v>
      </c>
      <c r="S11" s="202">
        <v>83.333333333333329</v>
      </c>
      <c r="T11" s="202">
        <v>11.666666666666666</v>
      </c>
      <c r="U11" s="202" t="s">
        <v>167</v>
      </c>
      <c r="V11" s="200" t="s">
        <v>167</v>
      </c>
      <c r="W11" s="200" t="s">
        <v>167</v>
      </c>
      <c r="X11" s="200" t="s">
        <v>167</v>
      </c>
      <c r="Y11" s="200" t="s">
        <v>167</v>
      </c>
      <c r="Z11" s="362">
        <v>12.333333333333334</v>
      </c>
      <c r="AA11" s="200">
        <v>2.9444444444444384E-2</v>
      </c>
      <c r="AB11" s="200" t="s">
        <v>320</v>
      </c>
      <c r="AC11" s="115">
        <v>0.5581666666666667</v>
      </c>
    </row>
    <row r="12" spans="1:29" ht="15" x14ac:dyDescent="0.2">
      <c r="A12" s="199" t="s">
        <v>230</v>
      </c>
      <c r="B12" s="356" t="s">
        <v>72</v>
      </c>
      <c r="C12" s="330" t="s">
        <v>155</v>
      </c>
      <c r="D12" s="146" t="s">
        <v>167</v>
      </c>
      <c r="E12" s="146" t="s">
        <v>167</v>
      </c>
      <c r="F12" s="146" t="s">
        <v>167</v>
      </c>
      <c r="G12" s="146" t="s">
        <v>167</v>
      </c>
      <c r="H12" s="146" t="s">
        <v>167</v>
      </c>
      <c r="I12" s="146" t="s">
        <v>167</v>
      </c>
      <c r="J12" s="146" t="s">
        <v>167</v>
      </c>
      <c r="K12" s="146" t="s">
        <v>167</v>
      </c>
      <c r="L12" s="146" t="s">
        <v>167</v>
      </c>
      <c r="M12" s="146" t="s">
        <v>167</v>
      </c>
      <c r="N12" s="146" t="s">
        <v>167</v>
      </c>
      <c r="O12" s="146" t="s">
        <v>167</v>
      </c>
      <c r="P12" s="203" t="s">
        <v>167</v>
      </c>
      <c r="Q12" s="203" t="s">
        <v>167</v>
      </c>
      <c r="R12" s="203" t="s">
        <v>167</v>
      </c>
      <c r="S12" s="203" t="s">
        <v>167</v>
      </c>
      <c r="T12" s="203" t="s">
        <v>167</v>
      </c>
      <c r="U12" s="203" t="s">
        <v>167</v>
      </c>
      <c r="V12" s="146" t="s">
        <v>167</v>
      </c>
      <c r="W12" s="146" t="s">
        <v>167</v>
      </c>
      <c r="X12" s="146" t="s">
        <v>167</v>
      </c>
      <c r="Y12" s="146" t="s">
        <v>167</v>
      </c>
      <c r="Z12" s="140" t="s">
        <v>167</v>
      </c>
      <c r="AA12" s="146" t="s">
        <v>351</v>
      </c>
      <c r="AB12" s="146" t="s">
        <v>321</v>
      </c>
      <c r="AC12" s="147" t="s">
        <v>322</v>
      </c>
    </row>
    <row r="13" spans="1:29" ht="15.75" thickBot="1" x14ac:dyDescent="0.25">
      <c r="A13" s="199"/>
      <c r="B13" s="363" t="s">
        <v>73</v>
      </c>
      <c r="C13" s="334" t="s">
        <v>156</v>
      </c>
      <c r="D13" s="207" t="s">
        <v>167</v>
      </c>
      <c r="E13" s="207" t="s">
        <v>167</v>
      </c>
      <c r="F13" s="207" t="s">
        <v>167</v>
      </c>
      <c r="G13" s="207" t="s">
        <v>167</v>
      </c>
      <c r="H13" s="207" t="s">
        <v>167</v>
      </c>
      <c r="I13" s="207" t="s">
        <v>167</v>
      </c>
      <c r="J13" s="207" t="s">
        <v>167</v>
      </c>
      <c r="K13" s="207" t="s">
        <v>167</v>
      </c>
      <c r="L13" s="207" t="s">
        <v>167</v>
      </c>
      <c r="M13" s="207" t="s">
        <v>167</v>
      </c>
      <c r="N13" s="207" t="s">
        <v>167</v>
      </c>
      <c r="O13" s="207" t="s">
        <v>167</v>
      </c>
      <c r="P13" s="364" t="s">
        <v>167</v>
      </c>
      <c r="Q13" s="364" t="s">
        <v>167</v>
      </c>
      <c r="R13" s="364" t="s">
        <v>167</v>
      </c>
      <c r="S13" s="364" t="s">
        <v>167</v>
      </c>
      <c r="T13" s="364" t="s">
        <v>167</v>
      </c>
      <c r="U13" s="364" t="s">
        <v>167</v>
      </c>
      <c r="V13" s="207" t="s">
        <v>167</v>
      </c>
      <c r="W13" s="207" t="s">
        <v>167</v>
      </c>
      <c r="X13" s="207" t="s">
        <v>167</v>
      </c>
      <c r="Y13" s="207" t="s">
        <v>167</v>
      </c>
      <c r="Z13" s="365" t="s">
        <v>167</v>
      </c>
      <c r="AA13" s="207" t="s">
        <v>352</v>
      </c>
      <c r="AB13" s="207" t="s">
        <v>323</v>
      </c>
      <c r="AC13" s="366" t="s">
        <v>324</v>
      </c>
    </row>
    <row r="14" spans="1:29" ht="30" x14ac:dyDescent="0.2">
      <c r="A14" s="196"/>
      <c r="B14" s="352" t="s">
        <v>31</v>
      </c>
      <c r="C14" s="336" t="s">
        <v>163</v>
      </c>
      <c r="D14" s="353">
        <v>27.799999999999997</v>
      </c>
      <c r="E14" s="353">
        <v>1.8845000000000001</v>
      </c>
      <c r="F14" s="353">
        <v>1.4415</v>
      </c>
      <c r="G14" s="353">
        <v>0.94500000000000006</v>
      </c>
      <c r="H14" s="353">
        <v>2.6669999999999998</v>
      </c>
      <c r="I14" s="353">
        <v>45.95</v>
      </c>
      <c r="J14" s="353">
        <v>0.76750000000000007</v>
      </c>
      <c r="K14" s="353">
        <v>87.2</v>
      </c>
      <c r="L14" s="353" t="s">
        <v>167</v>
      </c>
      <c r="M14" s="353" t="s">
        <v>167</v>
      </c>
      <c r="N14" s="353" t="s">
        <v>167</v>
      </c>
      <c r="O14" s="353" t="s">
        <v>167</v>
      </c>
      <c r="P14" s="354" t="s">
        <v>167</v>
      </c>
      <c r="Q14" s="354" t="s">
        <v>167</v>
      </c>
      <c r="R14" s="354">
        <v>99</v>
      </c>
      <c r="S14" s="354">
        <v>83.5</v>
      </c>
      <c r="T14" s="354">
        <v>17</v>
      </c>
      <c r="U14" s="354" t="s">
        <v>167</v>
      </c>
      <c r="V14" s="353" t="s">
        <v>167</v>
      </c>
      <c r="W14" s="353">
        <v>0.13800000000000001</v>
      </c>
      <c r="X14" s="353">
        <v>0.04</v>
      </c>
      <c r="Y14" s="353">
        <v>26.567</v>
      </c>
      <c r="Z14" s="198">
        <v>5.5</v>
      </c>
      <c r="AA14" s="353">
        <v>2.8333333333333099E-2</v>
      </c>
      <c r="AB14" s="353" t="s">
        <v>325</v>
      </c>
      <c r="AC14" s="355">
        <v>0.47175000000000006</v>
      </c>
    </row>
    <row r="15" spans="1:29" ht="15" x14ac:dyDescent="0.2">
      <c r="A15" s="199" t="s">
        <v>227</v>
      </c>
      <c r="B15" s="356" t="s">
        <v>72</v>
      </c>
      <c r="C15" s="330" t="s">
        <v>155</v>
      </c>
      <c r="D15" s="146" t="s">
        <v>167</v>
      </c>
      <c r="E15" s="146" t="s">
        <v>167</v>
      </c>
      <c r="F15" s="146" t="s">
        <v>167</v>
      </c>
      <c r="G15" s="146" t="s">
        <v>167</v>
      </c>
      <c r="H15" s="146" t="s">
        <v>167</v>
      </c>
      <c r="I15" s="146" t="s">
        <v>167</v>
      </c>
      <c r="J15" s="146" t="s">
        <v>167</v>
      </c>
      <c r="K15" s="146" t="s">
        <v>167</v>
      </c>
      <c r="L15" s="146" t="s">
        <v>167</v>
      </c>
      <c r="M15" s="146" t="s">
        <v>167</v>
      </c>
      <c r="N15" s="146" t="s">
        <v>167</v>
      </c>
      <c r="O15" s="146" t="s">
        <v>167</v>
      </c>
      <c r="P15" s="203" t="s">
        <v>167</v>
      </c>
      <c r="Q15" s="203" t="s">
        <v>167</v>
      </c>
      <c r="R15" s="203" t="s">
        <v>167</v>
      </c>
      <c r="S15" s="203" t="s">
        <v>167</v>
      </c>
      <c r="T15" s="203" t="s">
        <v>167</v>
      </c>
      <c r="U15" s="203" t="s">
        <v>167</v>
      </c>
      <c r="V15" s="146" t="s">
        <v>167</v>
      </c>
      <c r="W15" s="146" t="s">
        <v>167</v>
      </c>
      <c r="X15" s="146" t="s">
        <v>167</v>
      </c>
      <c r="Y15" s="146" t="s">
        <v>167</v>
      </c>
      <c r="Z15" s="140" t="s">
        <v>167</v>
      </c>
      <c r="AA15" s="146" t="s">
        <v>353</v>
      </c>
      <c r="AB15" s="146" t="s">
        <v>326</v>
      </c>
      <c r="AC15" s="147" t="s">
        <v>327</v>
      </c>
    </row>
    <row r="16" spans="1:29" ht="15.75" thickBot="1" x14ac:dyDescent="0.25">
      <c r="A16" s="208"/>
      <c r="B16" s="357" t="s">
        <v>73</v>
      </c>
      <c r="C16" s="124" t="s">
        <v>156</v>
      </c>
      <c r="D16" s="160" t="s">
        <v>167</v>
      </c>
      <c r="E16" s="160" t="s">
        <v>167</v>
      </c>
      <c r="F16" s="160" t="s">
        <v>167</v>
      </c>
      <c r="G16" s="160" t="s">
        <v>167</v>
      </c>
      <c r="H16" s="160" t="s">
        <v>167</v>
      </c>
      <c r="I16" s="160" t="s">
        <v>167</v>
      </c>
      <c r="J16" s="160" t="s">
        <v>167</v>
      </c>
      <c r="K16" s="160" t="s">
        <v>167</v>
      </c>
      <c r="L16" s="160" t="s">
        <v>167</v>
      </c>
      <c r="M16" s="160" t="s">
        <v>167</v>
      </c>
      <c r="N16" s="160" t="s">
        <v>167</v>
      </c>
      <c r="O16" s="160" t="s">
        <v>167</v>
      </c>
      <c r="P16" s="358" t="s">
        <v>167</v>
      </c>
      <c r="Q16" s="358" t="s">
        <v>167</v>
      </c>
      <c r="R16" s="358" t="s">
        <v>167</v>
      </c>
      <c r="S16" s="358" t="s">
        <v>167</v>
      </c>
      <c r="T16" s="358" t="s">
        <v>167</v>
      </c>
      <c r="U16" s="358" t="s">
        <v>167</v>
      </c>
      <c r="V16" s="160" t="s">
        <v>167</v>
      </c>
      <c r="W16" s="160" t="s">
        <v>167</v>
      </c>
      <c r="X16" s="160" t="s">
        <v>167</v>
      </c>
      <c r="Y16" s="160" t="s">
        <v>167</v>
      </c>
      <c r="Z16" s="359" t="s">
        <v>167</v>
      </c>
      <c r="AA16" s="160" t="s">
        <v>354</v>
      </c>
      <c r="AB16" s="160" t="s">
        <v>328</v>
      </c>
      <c r="AC16" s="209" t="s">
        <v>329</v>
      </c>
    </row>
    <row r="17" spans="1:29" ht="30" customHeight="1" x14ac:dyDescent="0.2">
      <c r="A17" s="196"/>
      <c r="B17" s="352" t="s">
        <v>31</v>
      </c>
      <c r="C17" s="336" t="s">
        <v>163</v>
      </c>
      <c r="D17" s="353">
        <v>29.5</v>
      </c>
      <c r="E17" s="353">
        <v>1.9010000000000002</v>
      </c>
      <c r="F17" s="353">
        <v>1.4693999999999998</v>
      </c>
      <c r="G17" s="353">
        <v>0.92120000000000002</v>
      </c>
      <c r="H17" s="353">
        <v>2.6798000000000002</v>
      </c>
      <c r="I17" s="353">
        <v>45.18</v>
      </c>
      <c r="J17" s="353">
        <v>0.82699999999999996</v>
      </c>
      <c r="K17" s="353">
        <v>95.54</v>
      </c>
      <c r="L17" s="353">
        <v>46.04</v>
      </c>
      <c r="M17" s="353">
        <v>20.52</v>
      </c>
      <c r="N17" s="353">
        <v>25.52</v>
      </c>
      <c r="O17" s="353">
        <v>0.35</v>
      </c>
      <c r="P17" s="354" t="s">
        <v>167</v>
      </c>
      <c r="Q17" s="354" t="s">
        <v>167</v>
      </c>
      <c r="R17" s="354">
        <v>100</v>
      </c>
      <c r="S17" s="354">
        <v>93.8</v>
      </c>
      <c r="T17" s="354">
        <v>78</v>
      </c>
      <c r="U17" s="354">
        <v>25.4</v>
      </c>
      <c r="V17" s="353">
        <v>1.0975000000000001</v>
      </c>
      <c r="W17" s="353">
        <v>0.15049999999999999</v>
      </c>
      <c r="X17" s="353">
        <v>4.3499999999999997E-2</v>
      </c>
      <c r="Y17" s="353">
        <v>33.073</v>
      </c>
      <c r="Z17" s="198">
        <v>11.6</v>
      </c>
      <c r="AA17" s="353">
        <v>0.17253333333333332</v>
      </c>
      <c r="AB17" s="353" t="s">
        <v>341</v>
      </c>
      <c r="AC17" s="355">
        <v>0.26349999999999996</v>
      </c>
    </row>
    <row r="18" spans="1:29" ht="15" x14ac:dyDescent="0.2">
      <c r="A18" s="199">
        <v>4</v>
      </c>
      <c r="B18" s="356" t="s">
        <v>72</v>
      </c>
      <c r="C18" s="330" t="s">
        <v>155</v>
      </c>
      <c r="D18" s="146" t="s">
        <v>167</v>
      </c>
      <c r="E18" s="146" t="s">
        <v>167</v>
      </c>
      <c r="F18" s="146" t="s">
        <v>167</v>
      </c>
      <c r="G18" s="146" t="s">
        <v>167</v>
      </c>
      <c r="H18" s="146" t="s">
        <v>167</v>
      </c>
      <c r="I18" s="146" t="s">
        <v>167</v>
      </c>
      <c r="J18" s="146" t="s">
        <v>167</v>
      </c>
      <c r="K18" s="146" t="s">
        <v>167</v>
      </c>
      <c r="L18" s="146" t="s">
        <v>167</v>
      </c>
      <c r="M18" s="146" t="s">
        <v>167</v>
      </c>
      <c r="N18" s="146" t="s">
        <v>167</v>
      </c>
      <c r="O18" s="146" t="s">
        <v>167</v>
      </c>
      <c r="P18" s="203" t="s">
        <v>167</v>
      </c>
      <c r="Q18" s="203" t="s">
        <v>167</v>
      </c>
      <c r="R18" s="203" t="s">
        <v>167</v>
      </c>
      <c r="S18" s="203" t="s">
        <v>167</v>
      </c>
      <c r="T18" s="203" t="s">
        <v>167</v>
      </c>
      <c r="U18" s="203" t="s">
        <v>167</v>
      </c>
      <c r="V18" s="146" t="s">
        <v>167</v>
      </c>
      <c r="W18" s="146" t="s">
        <v>167</v>
      </c>
      <c r="X18" s="146" t="s">
        <v>167</v>
      </c>
      <c r="Y18" s="146" t="s">
        <v>167</v>
      </c>
      <c r="Z18" s="140" t="s">
        <v>167</v>
      </c>
      <c r="AA18" s="146" t="s">
        <v>347</v>
      </c>
      <c r="AB18" s="146" t="s">
        <v>342</v>
      </c>
      <c r="AC18" s="147" t="s">
        <v>343</v>
      </c>
    </row>
    <row r="19" spans="1:29" ht="15.75" thickBot="1" x14ac:dyDescent="0.25">
      <c r="A19" s="208"/>
      <c r="B19" s="357" t="s">
        <v>73</v>
      </c>
      <c r="C19" s="124" t="s">
        <v>156</v>
      </c>
      <c r="D19" s="160" t="s">
        <v>167</v>
      </c>
      <c r="E19" s="160" t="s">
        <v>167</v>
      </c>
      <c r="F19" s="160" t="s">
        <v>167</v>
      </c>
      <c r="G19" s="160" t="s">
        <v>167</v>
      </c>
      <c r="H19" s="160" t="s">
        <v>167</v>
      </c>
      <c r="I19" s="160" t="s">
        <v>167</v>
      </c>
      <c r="J19" s="160" t="s">
        <v>167</v>
      </c>
      <c r="K19" s="160" t="s">
        <v>167</v>
      </c>
      <c r="L19" s="160" t="s">
        <v>167</v>
      </c>
      <c r="M19" s="160" t="s">
        <v>167</v>
      </c>
      <c r="N19" s="160" t="s">
        <v>167</v>
      </c>
      <c r="O19" s="160" t="s">
        <v>167</v>
      </c>
      <c r="P19" s="358" t="s">
        <v>167</v>
      </c>
      <c r="Q19" s="358" t="s">
        <v>167</v>
      </c>
      <c r="R19" s="358" t="s">
        <v>167</v>
      </c>
      <c r="S19" s="358" t="s">
        <v>167</v>
      </c>
      <c r="T19" s="358" t="s">
        <v>167</v>
      </c>
      <c r="U19" s="358" t="s">
        <v>167</v>
      </c>
      <c r="V19" s="160" t="s">
        <v>167</v>
      </c>
      <c r="W19" s="160" t="s">
        <v>167</v>
      </c>
      <c r="X19" s="160" t="s">
        <v>167</v>
      </c>
      <c r="Y19" s="160" t="s">
        <v>167</v>
      </c>
      <c r="Z19" s="359" t="s">
        <v>167</v>
      </c>
      <c r="AA19" s="160" t="s">
        <v>348</v>
      </c>
      <c r="AB19" s="160" t="s">
        <v>344</v>
      </c>
      <c r="AC19" s="209" t="s">
        <v>345</v>
      </c>
    </row>
    <row r="20" spans="1:29" ht="30" customHeight="1" x14ac:dyDescent="0.2">
      <c r="A20" s="196"/>
      <c r="B20" s="352" t="s">
        <v>31</v>
      </c>
      <c r="C20" s="336" t="s">
        <v>163</v>
      </c>
      <c r="D20" s="353">
        <v>21.122222222222224</v>
      </c>
      <c r="E20" s="353">
        <v>1.9327222222222222</v>
      </c>
      <c r="F20" s="353">
        <v>1.5963888888888889</v>
      </c>
      <c r="G20" s="353">
        <v>0.99805555555555558</v>
      </c>
      <c r="H20" s="353">
        <v>2.6630555555555553</v>
      </c>
      <c r="I20" s="353">
        <v>40.06666666666667</v>
      </c>
      <c r="J20" s="353">
        <v>0.66983333333333339</v>
      </c>
      <c r="K20" s="353">
        <v>83.933333333333323</v>
      </c>
      <c r="L20" s="353" t="s">
        <v>167</v>
      </c>
      <c r="M20" s="353" t="s">
        <v>167</v>
      </c>
      <c r="N20" s="353" t="s">
        <v>167</v>
      </c>
      <c r="O20" s="353" t="s">
        <v>167</v>
      </c>
      <c r="P20" s="354" t="s">
        <v>167</v>
      </c>
      <c r="Q20" s="354" t="s">
        <v>167</v>
      </c>
      <c r="R20" s="354">
        <v>100</v>
      </c>
      <c r="S20" s="354">
        <v>73.777777777777771</v>
      </c>
      <c r="T20" s="354">
        <v>11.888888888888889</v>
      </c>
      <c r="U20" s="354" t="s">
        <v>167</v>
      </c>
      <c r="V20" s="353" t="s">
        <v>167</v>
      </c>
      <c r="W20" s="353">
        <v>0.10033333333333333</v>
      </c>
      <c r="X20" s="353">
        <v>2.8999999999999998E-2</v>
      </c>
      <c r="Y20" s="353">
        <v>34.039666666666669</v>
      </c>
      <c r="Z20" s="198">
        <v>17.277777777777779</v>
      </c>
      <c r="AA20" s="353">
        <v>2.9703703703703566E-2</v>
      </c>
      <c r="AB20" s="353" t="s">
        <v>330</v>
      </c>
      <c r="AC20" s="355">
        <v>0.57905555555555588</v>
      </c>
    </row>
    <row r="21" spans="1:29" ht="15" x14ac:dyDescent="0.2">
      <c r="A21" s="199" t="s">
        <v>143</v>
      </c>
      <c r="B21" s="356" t="s">
        <v>72</v>
      </c>
      <c r="C21" s="330" t="s">
        <v>155</v>
      </c>
      <c r="D21" s="146" t="s">
        <v>167</v>
      </c>
      <c r="E21" s="146" t="s">
        <v>285</v>
      </c>
      <c r="F21" s="146" t="s">
        <v>287</v>
      </c>
      <c r="G21" s="146" t="s">
        <v>289</v>
      </c>
      <c r="H21" s="146" t="s">
        <v>167</v>
      </c>
      <c r="I21" s="146" t="s">
        <v>167</v>
      </c>
      <c r="J21" s="146" t="s">
        <v>167</v>
      </c>
      <c r="K21" s="146" t="s">
        <v>167</v>
      </c>
      <c r="L21" s="146" t="s">
        <v>167</v>
      </c>
      <c r="M21" s="146" t="s">
        <v>167</v>
      </c>
      <c r="N21" s="146" t="s">
        <v>167</v>
      </c>
      <c r="O21" s="146" t="s">
        <v>167</v>
      </c>
      <c r="P21" s="203" t="s">
        <v>167</v>
      </c>
      <c r="Q21" s="203" t="s">
        <v>167</v>
      </c>
      <c r="R21" s="203" t="s">
        <v>167</v>
      </c>
      <c r="S21" s="203" t="s">
        <v>167</v>
      </c>
      <c r="T21" s="203" t="s">
        <v>167</v>
      </c>
      <c r="U21" s="203" t="s">
        <v>167</v>
      </c>
      <c r="V21" s="146" t="s">
        <v>167</v>
      </c>
      <c r="W21" s="146" t="s">
        <v>167</v>
      </c>
      <c r="X21" s="146" t="s">
        <v>167</v>
      </c>
      <c r="Y21" s="146" t="s">
        <v>167</v>
      </c>
      <c r="Z21" s="140" t="s">
        <v>167</v>
      </c>
      <c r="AA21" s="146" t="s">
        <v>355</v>
      </c>
      <c r="AB21" s="146" t="s">
        <v>331</v>
      </c>
      <c r="AC21" s="147" t="s">
        <v>332</v>
      </c>
    </row>
    <row r="22" spans="1:29" ht="15.75" thickBot="1" x14ac:dyDescent="0.25">
      <c r="A22" s="208"/>
      <c r="B22" s="357" t="s">
        <v>73</v>
      </c>
      <c r="C22" s="124" t="s">
        <v>156</v>
      </c>
      <c r="D22" s="160" t="s">
        <v>167</v>
      </c>
      <c r="E22" s="160" t="s">
        <v>286</v>
      </c>
      <c r="F22" s="160" t="s">
        <v>288</v>
      </c>
      <c r="G22" s="160" t="s">
        <v>290</v>
      </c>
      <c r="H22" s="160" t="s">
        <v>167</v>
      </c>
      <c r="I22" s="160" t="s">
        <v>167</v>
      </c>
      <c r="J22" s="160" t="s">
        <v>167</v>
      </c>
      <c r="K22" s="160" t="s">
        <v>167</v>
      </c>
      <c r="L22" s="160" t="s">
        <v>167</v>
      </c>
      <c r="M22" s="160" t="s">
        <v>167</v>
      </c>
      <c r="N22" s="160" t="s">
        <v>167</v>
      </c>
      <c r="O22" s="160" t="s">
        <v>167</v>
      </c>
      <c r="P22" s="358" t="s">
        <v>167</v>
      </c>
      <c r="Q22" s="358" t="s">
        <v>167</v>
      </c>
      <c r="R22" s="358" t="s">
        <v>167</v>
      </c>
      <c r="S22" s="358" t="s">
        <v>167</v>
      </c>
      <c r="T22" s="358" t="s">
        <v>167</v>
      </c>
      <c r="U22" s="358" t="s">
        <v>167</v>
      </c>
      <c r="V22" s="160" t="s">
        <v>167</v>
      </c>
      <c r="W22" s="160" t="s">
        <v>167</v>
      </c>
      <c r="X22" s="160" t="s">
        <v>167</v>
      </c>
      <c r="Y22" s="160" t="s">
        <v>167</v>
      </c>
      <c r="Z22" s="359" t="s">
        <v>167</v>
      </c>
      <c r="AA22" s="160" t="s">
        <v>356</v>
      </c>
      <c r="AB22" s="160" t="s">
        <v>333</v>
      </c>
      <c r="AC22" s="209" t="s">
        <v>334</v>
      </c>
    </row>
    <row r="23" spans="1:29" ht="30" x14ac:dyDescent="0.2">
      <c r="A23" s="196"/>
      <c r="B23" s="352" t="s">
        <v>31</v>
      </c>
      <c r="C23" s="336" t="s">
        <v>163</v>
      </c>
      <c r="D23" s="353">
        <v>26.087499999999999</v>
      </c>
      <c r="E23" s="353">
        <v>1.8485</v>
      </c>
      <c r="F23" s="353">
        <v>1.4662499999999998</v>
      </c>
      <c r="G23" s="353">
        <v>0.91662500000000002</v>
      </c>
      <c r="H23" s="353">
        <v>2.6668750000000001</v>
      </c>
      <c r="I23" s="353">
        <v>45.037500000000001</v>
      </c>
      <c r="J23" s="353">
        <v>0.81912499999999999</v>
      </c>
      <c r="K23" s="353">
        <v>84.925000000000011</v>
      </c>
      <c r="L23" s="353" t="s">
        <v>167</v>
      </c>
      <c r="M23" s="353" t="s">
        <v>167</v>
      </c>
      <c r="N23" s="353" t="s">
        <v>167</v>
      </c>
      <c r="O23" s="353" t="s">
        <v>167</v>
      </c>
      <c r="P23" s="354" t="s">
        <v>167</v>
      </c>
      <c r="Q23" s="354" t="s">
        <v>167</v>
      </c>
      <c r="R23" s="354">
        <v>100</v>
      </c>
      <c r="S23" s="354">
        <v>84.625</v>
      </c>
      <c r="T23" s="354">
        <v>16</v>
      </c>
      <c r="U23" s="354" t="s">
        <v>167</v>
      </c>
      <c r="V23" s="353" t="s">
        <v>167</v>
      </c>
      <c r="W23" s="353" t="s">
        <v>167</v>
      </c>
      <c r="X23" s="353" t="s">
        <v>167</v>
      </c>
      <c r="Y23" s="353" t="s">
        <v>167</v>
      </c>
      <c r="Z23" s="198">
        <v>7</v>
      </c>
      <c r="AA23" s="353">
        <v>2.662500000000001E-2</v>
      </c>
      <c r="AB23" s="353" t="s">
        <v>335</v>
      </c>
      <c r="AC23" s="355">
        <v>0.49056250000000007</v>
      </c>
    </row>
    <row r="24" spans="1:29" ht="15" x14ac:dyDescent="0.2">
      <c r="A24" s="199" t="s">
        <v>145</v>
      </c>
      <c r="B24" s="356" t="s">
        <v>72</v>
      </c>
      <c r="C24" s="330" t="s">
        <v>155</v>
      </c>
      <c r="D24" s="146" t="s">
        <v>167</v>
      </c>
      <c r="E24" s="146" t="s">
        <v>293</v>
      </c>
      <c r="F24" s="146" t="s">
        <v>295</v>
      </c>
      <c r="G24" s="146" t="s">
        <v>297</v>
      </c>
      <c r="H24" s="146" t="s">
        <v>167</v>
      </c>
      <c r="I24" s="146" t="s">
        <v>167</v>
      </c>
      <c r="J24" s="146" t="s">
        <v>167</v>
      </c>
      <c r="K24" s="146" t="s">
        <v>167</v>
      </c>
      <c r="L24" s="146" t="s">
        <v>167</v>
      </c>
      <c r="M24" s="146" t="s">
        <v>167</v>
      </c>
      <c r="N24" s="146" t="s">
        <v>167</v>
      </c>
      <c r="O24" s="146" t="s">
        <v>167</v>
      </c>
      <c r="P24" s="203" t="s">
        <v>167</v>
      </c>
      <c r="Q24" s="203" t="s">
        <v>167</v>
      </c>
      <c r="R24" s="203" t="s">
        <v>167</v>
      </c>
      <c r="S24" s="203" t="s">
        <v>167</v>
      </c>
      <c r="T24" s="203" t="s">
        <v>167</v>
      </c>
      <c r="U24" s="203" t="s">
        <v>167</v>
      </c>
      <c r="V24" s="146" t="s">
        <v>167</v>
      </c>
      <c r="W24" s="146" t="s">
        <v>167</v>
      </c>
      <c r="X24" s="146" t="s">
        <v>167</v>
      </c>
      <c r="Y24" s="146" t="s">
        <v>167</v>
      </c>
      <c r="Z24" s="140" t="s">
        <v>167</v>
      </c>
      <c r="AA24" s="146" t="s">
        <v>363</v>
      </c>
      <c r="AB24" s="146" t="s">
        <v>336</v>
      </c>
      <c r="AC24" s="147" t="s">
        <v>337</v>
      </c>
    </row>
    <row r="25" spans="1:29" ht="15.75" thickBot="1" x14ac:dyDescent="0.25">
      <c r="A25" s="208"/>
      <c r="B25" s="357" t="s">
        <v>73</v>
      </c>
      <c r="C25" s="124" t="s">
        <v>156</v>
      </c>
      <c r="D25" s="160" t="s">
        <v>167</v>
      </c>
      <c r="E25" s="160" t="s">
        <v>294</v>
      </c>
      <c r="F25" s="160" t="s">
        <v>296</v>
      </c>
      <c r="G25" s="160" t="s">
        <v>298</v>
      </c>
      <c r="H25" s="160" t="s">
        <v>167</v>
      </c>
      <c r="I25" s="160" t="s">
        <v>167</v>
      </c>
      <c r="J25" s="160" t="s">
        <v>167</v>
      </c>
      <c r="K25" s="160" t="s">
        <v>167</v>
      </c>
      <c r="L25" s="160" t="s">
        <v>167</v>
      </c>
      <c r="M25" s="160" t="s">
        <v>167</v>
      </c>
      <c r="N25" s="160" t="s">
        <v>167</v>
      </c>
      <c r="O25" s="160" t="s">
        <v>167</v>
      </c>
      <c r="P25" s="358" t="s">
        <v>167</v>
      </c>
      <c r="Q25" s="358" t="s">
        <v>167</v>
      </c>
      <c r="R25" s="358" t="s">
        <v>167</v>
      </c>
      <c r="S25" s="358" t="s">
        <v>167</v>
      </c>
      <c r="T25" s="358" t="s">
        <v>167</v>
      </c>
      <c r="U25" s="358" t="s">
        <v>167</v>
      </c>
      <c r="V25" s="160" t="s">
        <v>167</v>
      </c>
      <c r="W25" s="160" t="s">
        <v>167</v>
      </c>
      <c r="X25" s="160" t="s">
        <v>167</v>
      </c>
      <c r="Y25" s="160" t="s">
        <v>167</v>
      </c>
      <c r="Z25" s="359" t="s">
        <v>167</v>
      </c>
      <c r="AA25" s="160" t="s">
        <v>364</v>
      </c>
      <c r="AB25" s="160" t="s">
        <v>338</v>
      </c>
      <c r="AC25" s="209" t="s">
        <v>339</v>
      </c>
    </row>
    <row r="26" spans="1:29" ht="30" x14ac:dyDescent="0.2">
      <c r="A26" s="196"/>
      <c r="B26" s="352" t="s">
        <v>31</v>
      </c>
      <c r="C26" s="336" t="s">
        <v>163</v>
      </c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53"/>
      <c r="O26" s="353"/>
      <c r="P26" s="354"/>
      <c r="Q26" s="354"/>
      <c r="R26" s="354"/>
      <c r="S26" s="354"/>
      <c r="T26" s="354"/>
      <c r="U26" s="354"/>
      <c r="V26" s="353"/>
      <c r="W26" s="353"/>
      <c r="X26" s="353"/>
      <c r="Y26" s="353"/>
      <c r="Z26" s="198"/>
      <c r="AA26" s="353"/>
      <c r="AB26" s="353"/>
      <c r="AC26" s="355"/>
    </row>
    <row r="27" spans="1:29" ht="15" x14ac:dyDescent="0.2">
      <c r="A27" s="199"/>
      <c r="B27" s="356" t="s">
        <v>72</v>
      </c>
      <c r="C27" s="330" t="s">
        <v>155</v>
      </c>
      <c r="D27" s="146"/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203"/>
      <c r="Q27" s="203"/>
      <c r="R27" s="203"/>
      <c r="S27" s="203"/>
      <c r="T27" s="203"/>
      <c r="U27" s="203"/>
      <c r="V27" s="146"/>
      <c r="W27" s="146"/>
      <c r="X27" s="146"/>
      <c r="Y27" s="146"/>
      <c r="Z27" s="140"/>
      <c r="AA27" s="146"/>
      <c r="AB27" s="146"/>
      <c r="AC27" s="147"/>
    </row>
    <row r="28" spans="1:29" ht="15.75" thickBot="1" x14ac:dyDescent="0.25">
      <c r="A28" s="208"/>
      <c r="B28" s="357" t="s">
        <v>73</v>
      </c>
      <c r="C28" s="124" t="s">
        <v>156</v>
      </c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358"/>
      <c r="Q28" s="358"/>
      <c r="R28" s="358"/>
      <c r="S28" s="358"/>
      <c r="T28" s="358"/>
      <c r="U28" s="358"/>
      <c r="V28" s="160"/>
      <c r="W28" s="160"/>
      <c r="X28" s="160"/>
      <c r="Y28" s="160"/>
      <c r="Z28" s="359"/>
      <c r="AA28" s="160"/>
      <c r="AB28" s="160"/>
      <c r="AC28" s="209"/>
    </row>
    <row r="29" spans="1:29" ht="30" x14ac:dyDescent="0.2">
      <c r="A29" s="196"/>
      <c r="B29" s="352" t="s">
        <v>31</v>
      </c>
      <c r="C29" s="336" t="s">
        <v>163</v>
      </c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4"/>
      <c r="Q29" s="354"/>
      <c r="R29" s="354"/>
      <c r="S29" s="354"/>
      <c r="T29" s="354"/>
      <c r="U29" s="354"/>
      <c r="V29" s="353"/>
      <c r="W29" s="353"/>
      <c r="X29" s="353"/>
      <c r="Y29" s="353"/>
      <c r="Z29" s="198"/>
      <c r="AA29" s="353"/>
      <c r="AB29" s="353"/>
      <c r="AC29" s="355"/>
    </row>
    <row r="30" spans="1:29" ht="15" x14ac:dyDescent="0.2">
      <c r="A30" s="199"/>
      <c r="B30" s="356" t="s">
        <v>72</v>
      </c>
      <c r="C30" s="330" t="s">
        <v>155</v>
      </c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203"/>
      <c r="Q30" s="203"/>
      <c r="R30" s="203"/>
      <c r="S30" s="203"/>
      <c r="T30" s="203"/>
      <c r="U30" s="203"/>
      <c r="V30" s="146"/>
      <c r="W30" s="146"/>
      <c r="X30" s="146"/>
      <c r="Y30" s="146"/>
      <c r="Z30" s="140"/>
      <c r="AA30" s="146"/>
      <c r="AB30" s="146"/>
      <c r="AC30" s="147"/>
    </row>
    <row r="31" spans="1:29" ht="15.75" thickBot="1" x14ac:dyDescent="0.25">
      <c r="A31" s="208"/>
      <c r="B31" s="357" t="s">
        <v>73</v>
      </c>
      <c r="C31" s="124" t="s">
        <v>156</v>
      </c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358"/>
      <c r="Q31" s="358"/>
      <c r="R31" s="358"/>
      <c r="S31" s="358"/>
      <c r="T31" s="358"/>
      <c r="U31" s="358"/>
      <c r="V31" s="160"/>
      <c r="W31" s="160"/>
      <c r="X31" s="160"/>
      <c r="Y31" s="160"/>
      <c r="Z31" s="359"/>
      <c r="AA31" s="160"/>
      <c r="AB31" s="160"/>
      <c r="AC31" s="209"/>
    </row>
    <row r="32" spans="1:29" ht="30" x14ac:dyDescent="0.2">
      <c r="A32" s="196"/>
      <c r="B32" s="352" t="s">
        <v>31</v>
      </c>
      <c r="C32" s="336" t="s">
        <v>163</v>
      </c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53"/>
      <c r="O32" s="353"/>
      <c r="P32" s="354"/>
      <c r="Q32" s="354"/>
      <c r="R32" s="354"/>
      <c r="S32" s="354"/>
      <c r="T32" s="354"/>
      <c r="U32" s="354"/>
      <c r="V32" s="353"/>
      <c r="W32" s="353"/>
      <c r="X32" s="353"/>
      <c r="Y32" s="353"/>
      <c r="Z32" s="198"/>
      <c r="AA32" s="353"/>
      <c r="AB32" s="353"/>
      <c r="AC32" s="355"/>
    </row>
    <row r="33" spans="1:29" ht="15" x14ac:dyDescent="0.2">
      <c r="A33" s="199"/>
      <c r="B33" s="356" t="s">
        <v>72</v>
      </c>
      <c r="C33" s="330" t="s">
        <v>155</v>
      </c>
      <c r="D33" s="146"/>
      <c r="E33" s="146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203"/>
      <c r="Q33" s="203"/>
      <c r="R33" s="203"/>
      <c r="S33" s="203"/>
      <c r="T33" s="203"/>
      <c r="U33" s="203"/>
      <c r="V33" s="146"/>
      <c r="W33" s="146"/>
      <c r="X33" s="146"/>
      <c r="Y33" s="146"/>
      <c r="Z33" s="140"/>
      <c r="AA33" s="146"/>
      <c r="AB33" s="146"/>
      <c r="AC33" s="147"/>
    </row>
    <row r="34" spans="1:29" ht="15.75" thickBot="1" x14ac:dyDescent="0.25">
      <c r="A34" s="208"/>
      <c r="B34" s="357" t="s">
        <v>73</v>
      </c>
      <c r="C34" s="124" t="s">
        <v>156</v>
      </c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358"/>
      <c r="Q34" s="358"/>
      <c r="R34" s="358"/>
      <c r="S34" s="358"/>
      <c r="T34" s="358"/>
      <c r="U34" s="358"/>
      <c r="V34" s="160"/>
      <c r="W34" s="160"/>
      <c r="X34" s="160"/>
      <c r="Y34" s="160"/>
      <c r="Z34" s="359"/>
      <c r="AA34" s="160"/>
      <c r="AB34" s="160"/>
      <c r="AC34" s="209"/>
    </row>
  </sheetData>
  <mergeCells count="8">
    <mergeCell ref="A1:AC1"/>
    <mergeCell ref="A2:A4"/>
    <mergeCell ref="B2:B4"/>
    <mergeCell ref="E2:G2"/>
    <mergeCell ref="L2:N2"/>
    <mergeCell ref="P2:U2"/>
    <mergeCell ref="AA2:AC2"/>
    <mergeCell ref="P3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Solieu1</vt:lpstr>
      <vt:lpstr>Solieu2</vt:lpstr>
      <vt:lpstr>Bangtra</vt:lpstr>
      <vt:lpstr>Thongke1</vt:lpstr>
      <vt:lpstr>Thongke2</vt:lpstr>
      <vt:lpstr>BaocaoTong</vt:lpstr>
      <vt:lpstr>Baocao1</vt:lpstr>
      <vt:lpstr>Print</vt:lpstr>
      <vt:lpstr>BANGTRA1_BT</vt:lpstr>
      <vt:lpstr>BANGTRA2_BT</vt:lpstr>
      <vt:lpstr>CAPAPLUC_TK2</vt:lpstr>
      <vt:lpstr>DATTRUNG_TK1</vt:lpstr>
      <vt:lpstr>KQTHONGKE_TK2</vt:lpstr>
      <vt:lpstr>LINEST_TK2</vt:lpstr>
      <vt:lpstr>SOHIEUMAU_TK1</vt:lpstr>
      <vt:lpstr>SOHIEUMAU_TK2</vt:lpstr>
      <vt:lpstr>TRITC_BCT</vt:lpstr>
      <vt:lpstr>TRITT_BCT</vt:lpstr>
      <vt:lpstr>USCAT_TK2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Thong ke Dia chat</dc:title>
  <dc:creator/>
  <cp:keywords>Thong ke dia chat, VBA, Macro</cp:keywords>
  <dc:description>chuong trinh VBA: thong ke dia chat 3A, 3B</dc:description>
  <cp:lastModifiedBy/>
  <dcterms:created xsi:type="dcterms:W3CDTF">2006-09-16T00:00:00Z</dcterms:created>
  <dcterms:modified xsi:type="dcterms:W3CDTF">2014-11-10T17:21:51Z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HopThoaiThongke_1" visible="true" label="ThongKeDC" imageMso="ResultsPaneStartFindAndReplace" onAction="ShowHopThoaiThongke"/>
      </mso:documentControls>
    </mso:qat>
  </mso:ribbon>
</mso:customUI>
</file>